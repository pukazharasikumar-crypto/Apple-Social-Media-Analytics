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C:\Users\pukazh\Downloads\Apple Social Media Analytics\"/>
    </mc:Choice>
  </mc:AlternateContent>
  <xr:revisionPtr revIDLastSave="0" documentId="13_ncr:1_{42029974-BDD9-4205-9231-FD8B3A891096}" xr6:coauthVersionLast="47" xr6:coauthVersionMax="47" xr10:uidLastSave="{00000000-0000-0000-0000-000000000000}"/>
  <bookViews>
    <workbookView xWindow="-108" yWindow="-108" windowWidth="23256" windowHeight="12456" activeTab="3" xr2:uid="{C857D137-7B72-40AE-A8D7-1A6D540ECB06}"/>
  </bookViews>
  <sheets>
    <sheet name="post datasets_2.1&amp;2.2" sheetId="1" r:id="rId1"/>
    <sheet name="PIVOT_TABLE_2.3" sheetId="3" r:id="rId2"/>
    <sheet name="HASHTAGS ANALYSIS_2.4" sheetId="5" r:id="rId3"/>
    <sheet name="DASHBOARD" sheetId="6" r:id="rId4"/>
  </sheets>
  <definedNames>
    <definedName name="_xlnm._FilterDatabase" localSheetId="2" hidden="1">'HASHTAGS ANALYSIS_2.4'!$A$5:$B$572</definedName>
    <definedName name="_xlnm._FilterDatabase" localSheetId="0" hidden="1">'post datasets_2.1&amp;2.2'!$P$5:$Q$5</definedName>
  </definedNames>
  <calcPr calcId="191029"/>
  <pivotCaches>
    <pivotCache cacheId="0" r:id="rId5"/>
    <pivotCache cacheId="1" r:id="rId6"/>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N18" i="6" l="1"/>
  <c r="N17" i="6"/>
  <c r="N16" i="6"/>
  <c r="N15" i="6"/>
  <c r="N14" i="6"/>
  <c r="N13" i="6"/>
  <c r="N12" i="6"/>
  <c r="N11" i="6"/>
  <c r="N10" i="6"/>
  <c r="N9" i="6"/>
  <c r="AC15" i="1"/>
  <c r="AC14" i="1"/>
  <c r="AC13" i="1"/>
  <c r="AC12" i="1"/>
  <c r="AC11" i="1"/>
  <c r="AC10" i="1"/>
  <c r="AC9" i="1"/>
  <c r="AC8" i="1"/>
  <c r="AC7" i="1"/>
  <c r="AC6" i="1"/>
  <c r="N2" i="1"/>
  <c r="N171" i="1"/>
  <c r="N132" i="1"/>
  <c r="N300" i="1"/>
  <c r="N22" i="1"/>
  <c r="N31" i="1"/>
  <c r="N95" i="1"/>
  <c r="N184" i="1"/>
  <c r="N256" i="1"/>
  <c r="N158" i="1"/>
  <c r="N198" i="1"/>
  <c r="N254" i="1"/>
  <c r="N6" i="1"/>
  <c r="N281" i="1"/>
  <c r="N237" i="1"/>
  <c r="N265" i="1"/>
  <c r="N205" i="1"/>
  <c r="N208" i="1"/>
  <c r="N131" i="1"/>
  <c r="N245" i="1"/>
  <c r="N26" i="1"/>
  <c r="N258" i="1"/>
  <c r="N59" i="1"/>
  <c r="N105" i="1"/>
  <c r="N181" i="1"/>
  <c r="N166" i="1"/>
  <c r="N124" i="1"/>
  <c r="N241" i="1"/>
  <c r="N176" i="1"/>
  <c r="N253" i="1"/>
  <c r="N257" i="1"/>
  <c r="N239" i="1"/>
  <c r="N139" i="1"/>
  <c r="N177" i="1"/>
  <c r="N165" i="1"/>
  <c r="N108" i="1"/>
  <c r="N218" i="1"/>
  <c r="N272" i="1"/>
  <c r="N89" i="1"/>
  <c r="N75" i="1"/>
  <c r="N297" i="1"/>
  <c r="N44" i="1"/>
  <c r="N284" i="1"/>
  <c r="N62" i="1"/>
  <c r="N217" i="1"/>
  <c r="N39" i="1"/>
  <c r="N54" i="1"/>
  <c r="N236" i="1"/>
  <c r="N244" i="1"/>
  <c r="N73" i="1"/>
  <c r="N30" i="1"/>
  <c r="N141" i="1"/>
  <c r="N100" i="1"/>
  <c r="N225" i="1"/>
  <c r="N179" i="1"/>
  <c r="N168" i="1"/>
  <c r="N173" i="1"/>
  <c r="N266" i="1"/>
  <c r="N194" i="1"/>
  <c r="N91" i="1"/>
  <c r="N34" i="1"/>
  <c r="N70" i="1"/>
  <c r="N117" i="1"/>
  <c r="N178" i="1"/>
  <c r="N263" i="1"/>
  <c r="N113" i="1"/>
  <c r="N85" i="1"/>
  <c r="N50" i="1"/>
  <c r="N247" i="1"/>
  <c r="N273" i="1"/>
  <c r="N128" i="1"/>
  <c r="N93" i="1"/>
  <c r="N67" i="1"/>
  <c r="N43" i="1"/>
  <c r="N71" i="1"/>
  <c r="N28" i="1"/>
  <c r="N76" i="1"/>
  <c r="N298" i="1"/>
  <c r="N280" i="1"/>
  <c r="N23" i="1"/>
  <c r="N235" i="1"/>
  <c r="N19" i="1"/>
  <c r="N99" i="1"/>
  <c r="N231" i="1"/>
  <c r="N172" i="1"/>
  <c r="N243" i="1"/>
  <c r="N88" i="1"/>
  <c r="N210" i="1"/>
  <c r="N270" i="1"/>
  <c r="N61" i="1"/>
  <c r="N129" i="1"/>
  <c r="N47" i="1"/>
  <c r="N252" i="1"/>
  <c r="N120" i="1"/>
  <c r="N242" i="1"/>
  <c r="N53" i="1"/>
  <c r="N122" i="1"/>
  <c r="N223" i="1"/>
  <c r="N96" i="1"/>
  <c r="N196" i="1"/>
  <c r="N246" i="1"/>
  <c r="N159" i="1"/>
  <c r="N80" i="1"/>
  <c r="N36" i="1"/>
  <c r="N12" i="1"/>
  <c r="N116" i="1"/>
  <c r="N78" i="1"/>
  <c r="N111" i="1"/>
  <c r="N289" i="1"/>
  <c r="N222" i="1"/>
  <c r="N201" i="1"/>
  <c r="N250" i="1"/>
  <c r="N162" i="1"/>
  <c r="N213" i="1"/>
  <c r="N200" i="1"/>
  <c r="N186" i="1"/>
  <c r="N160" i="1"/>
  <c r="N37" i="1"/>
  <c r="N248" i="1"/>
  <c r="N4" i="1"/>
  <c r="N155" i="1"/>
  <c r="N7" i="1"/>
  <c r="N195" i="1"/>
  <c r="N60" i="1"/>
  <c r="N51" i="1"/>
  <c r="N5" i="1"/>
  <c r="N125" i="1"/>
  <c r="N52" i="1"/>
  <c r="N264" i="1"/>
  <c r="N107" i="1"/>
  <c r="N74" i="1"/>
  <c r="N240" i="1"/>
  <c r="N271" i="1"/>
  <c r="N103" i="1"/>
  <c r="N21" i="1"/>
  <c r="N175" i="1"/>
  <c r="N101" i="1"/>
  <c r="N58" i="1"/>
  <c r="N18" i="1"/>
  <c r="N283" i="1"/>
  <c r="N274" i="1"/>
  <c r="N121" i="1"/>
  <c r="N109" i="1"/>
  <c r="N267" i="1"/>
  <c r="N133" i="1"/>
  <c r="N92" i="1"/>
  <c r="N57" i="1"/>
  <c r="N229" i="1"/>
  <c r="N24" i="1"/>
  <c r="N17" i="1"/>
  <c r="N55" i="1"/>
  <c r="N138" i="1"/>
  <c r="N227" i="1"/>
  <c r="N82" i="1"/>
  <c r="N232" i="1"/>
  <c r="N110" i="1"/>
  <c r="N65" i="1"/>
  <c r="N126" i="1"/>
  <c r="N64" i="1"/>
  <c r="N123" i="1"/>
  <c r="N219" i="1"/>
  <c r="N48" i="1"/>
  <c r="N16" i="1"/>
  <c r="N157" i="1"/>
  <c r="N154" i="1"/>
  <c r="N301" i="1"/>
  <c r="N90" i="1"/>
  <c r="N234" i="1"/>
  <c r="N38" i="1"/>
  <c r="N262" i="1"/>
  <c r="N190" i="1"/>
  <c r="N293" i="1"/>
  <c r="N13" i="1"/>
  <c r="N188" i="1"/>
  <c r="N187" i="1"/>
  <c r="N211" i="1"/>
  <c r="N287" i="1"/>
  <c r="N170" i="1"/>
  <c r="N145" i="1"/>
  <c r="N288" i="1"/>
  <c r="N279" i="1"/>
  <c r="N140" i="1"/>
  <c r="N87" i="1"/>
  <c r="N11" i="1"/>
  <c r="N33" i="1"/>
  <c r="N40" i="1"/>
  <c r="N299" i="1"/>
  <c r="N72" i="1"/>
  <c r="N41" i="1"/>
  <c r="N191" i="1"/>
  <c r="N212" i="1"/>
  <c r="N294" i="1"/>
  <c r="N102" i="1"/>
  <c r="N127" i="1"/>
  <c r="N20" i="1"/>
  <c r="N251" i="1"/>
  <c r="N148" i="1"/>
  <c r="N142" i="1"/>
  <c r="N259" i="1"/>
  <c r="N3" i="1"/>
  <c r="N66" i="1"/>
  <c r="N86" i="1"/>
  <c r="N118" i="1"/>
  <c r="N104" i="1"/>
  <c r="N277" i="1"/>
  <c r="N275" i="1"/>
  <c r="N163" i="1"/>
  <c r="N207" i="1"/>
  <c r="N228" i="1"/>
  <c r="N202" i="1"/>
  <c r="N189" i="1"/>
  <c r="N182" i="1"/>
  <c r="N146" i="1"/>
  <c r="N185" i="1"/>
  <c r="N29" i="1"/>
  <c r="N112" i="1"/>
  <c r="N226" i="1"/>
  <c r="N261" i="1"/>
  <c r="N25" i="1"/>
  <c r="N68" i="1"/>
  <c r="N224" i="1"/>
  <c r="N15" i="1"/>
  <c r="N84" i="1"/>
  <c r="N130" i="1"/>
  <c r="N9" i="1"/>
  <c r="N192" i="1"/>
  <c r="N114" i="1"/>
  <c r="N209" i="1"/>
  <c r="N56" i="1"/>
  <c r="N10" i="1"/>
  <c r="N83" i="1"/>
  <c r="N203" i="1"/>
  <c r="N115" i="1"/>
  <c r="N135" i="1"/>
  <c r="N296" i="1"/>
  <c r="N153" i="1"/>
  <c r="N167" i="1"/>
  <c r="N204" i="1"/>
  <c r="N150" i="1"/>
  <c r="N221" i="1"/>
  <c r="N81" i="1"/>
  <c r="N151" i="1"/>
  <c r="N27" i="1"/>
  <c r="N295" i="1"/>
  <c r="N45" i="1"/>
  <c r="N292" i="1"/>
  <c r="N79" i="1"/>
  <c r="N156" i="1"/>
  <c r="N119" i="1"/>
  <c r="N42" i="1"/>
  <c r="N206" i="1"/>
  <c r="N161" i="1"/>
  <c r="N14" i="1"/>
  <c r="N183" i="1"/>
  <c r="N278" i="1"/>
  <c r="N214" i="1"/>
  <c r="N137" i="1"/>
  <c r="N180" i="1"/>
  <c r="N46" i="1"/>
  <c r="N260" i="1"/>
  <c r="N143" i="1"/>
  <c r="N164" i="1"/>
  <c r="N77" i="1"/>
  <c r="N94" i="1"/>
  <c r="N169" i="1"/>
  <c r="N193" i="1"/>
  <c r="N144" i="1"/>
  <c r="N255" i="1"/>
  <c r="N233" i="1"/>
  <c r="N106" i="1"/>
  <c r="N147" i="1"/>
  <c r="N291" i="1"/>
  <c r="N276" i="1"/>
  <c r="N282" i="1"/>
  <c r="N63" i="1"/>
  <c r="N199" i="1"/>
  <c r="N197" i="1"/>
  <c r="N220" i="1"/>
  <c r="N286" i="1"/>
  <c r="N285" i="1"/>
  <c r="N136" i="1"/>
  <c r="N268" i="1"/>
  <c r="N134" i="1"/>
  <c r="N69" i="1"/>
  <c r="N35" i="1"/>
  <c r="N8" i="1"/>
  <c r="N238" i="1"/>
  <c r="N32" i="1"/>
  <c r="N152" i="1"/>
  <c r="N215" i="1"/>
  <c r="N290" i="1"/>
  <c r="N249" i="1"/>
  <c r="N97" i="1"/>
  <c r="N230" i="1"/>
  <c r="N149" i="1"/>
  <c r="N174" i="1"/>
  <c r="N269" i="1"/>
  <c r="N216" i="1"/>
  <c r="N49" i="1"/>
  <c r="N98" i="1"/>
</calcChain>
</file>

<file path=xl/sharedStrings.xml><?xml version="1.0" encoding="utf-8"?>
<sst xmlns="http://schemas.openxmlformats.org/spreadsheetml/2006/main" count="2692" uniqueCount="394">
  <si>
    <t>PostID</t>
  </si>
  <si>
    <t>Platform</t>
  </si>
  <si>
    <t>Date</t>
  </si>
  <si>
    <t>ContentType</t>
  </si>
  <si>
    <t>Hashtags1</t>
  </si>
  <si>
    <t>Hashtags 2</t>
  </si>
  <si>
    <t>Likes</t>
  </si>
  <si>
    <t>Shares</t>
  </si>
  <si>
    <t>Comments</t>
  </si>
  <si>
    <t>Clicks</t>
  </si>
  <si>
    <t>Reach</t>
  </si>
  <si>
    <t>Impressions</t>
  </si>
  <si>
    <t>Campaign</t>
  </si>
  <si>
    <t>A1</t>
  </si>
  <si>
    <t>YouTube</t>
  </si>
  <si>
    <t>Image</t>
  </si>
  <si>
    <t>#AppleWatchUltra2</t>
  </si>
  <si>
    <t>#HealthTech</t>
  </si>
  <si>
    <t>Apple Watch Ultra 2 Launch</t>
  </si>
  <si>
    <t>A2</t>
  </si>
  <si>
    <t>LinkedIn</t>
  </si>
  <si>
    <t>#MacBookAirM3</t>
  </si>
  <si>
    <t>#AppleInnovation</t>
  </si>
  <si>
    <t>Apple Event September 2025</t>
  </si>
  <si>
    <t>A3</t>
  </si>
  <si>
    <t>Instagram</t>
  </si>
  <si>
    <t>Tweet</t>
  </si>
  <si>
    <t>#AppleDesign</t>
  </si>
  <si>
    <t>#Innovation</t>
  </si>
  <si>
    <t>Sustainability Awareness Drive</t>
  </si>
  <si>
    <t>A4</t>
  </si>
  <si>
    <t>Video</t>
  </si>
  <si>
    <t>#AppleEvent</t>
  </si>
  <si>
    <t>#iPadPro</t>
  </si>
  <si>
    <t>iPhone 16 Launch</t>
  </si>
  <si>
    <t>A5</t>
  </si>
  <si>
    <t>A6</t>
  </si>
  <si>
    <t>#ShotOniPhone</t>
  </si>
  <si>
    <t>A7</t>
  </si>
  <si>
    <t>Carousel</t>
  </si>
  <si>
    <t>#AppleMusic</t>
  </si>
  <si>
    <t>#AppleLifestyle</t>
  </si>
  <si>
    <t>A8</t>
  </si>
  <si>
    <t>#AppleWatch</t>
  </si>
  <si>
    <t>#Health</t>
  </si>
  <si>
    <t>A9</t>
  </si>
  <si>
    <t>A10</t>
  </si>
  <si>
    <t>Twitter</t>
  </si>
  <si>
    <t>#iPhone16Launch</t>
  </si>
  <si>
    <t>A11</t>
  </si>
  <si>
    <t>A12</t>
  </si>
  <si>
    <t>A13</t>
  </si>
  <si>
    <t>MacBook Air M3 Campaign</t>
  </si>
  <si>
    <t>A14</t>
  </si>
  <si>
    <t>A15</t>
  </si>
  <si>
    <t>A16</t>
  </si>
  <si>
    <t>A17</t>
  </si>
  <si>
    <t>#iPhone16</t>
  </si>
  <si>
    <t>A18</t>
  </si>
  <si>
    <t>A19</t>
  </si>
  <si>
    <t>A20</t>
  </si>
  <si>
    <t>A21</t>
  </si>
  <si>
    <t>#iPhonePhotography</t>
  </si>
  <si>
    <t>A22</t>
  </si>
  <si>
    <t>A23</t>
  </si>
  <si>
    <t>A24</t>
  </si>
  <si>
    <t>A25</t>
  </si>
  <si>
    <t>A26</t>
  </si>
  <si>
    <t>A27</t>
  </si>
  <si>
    <t>A28</t>
  </si>
  <si>
    <t>A29</t>
  </si>
  <si>
    <t>#MacBookProM3</t>
  </si>
  <si>
    <t>A30</t>
  </si>
  <si>
    <t>A31</t>
  </si>
  <si>
    <t>A32</t>
  </si>
  <si>
    <t>A33</t>
  </si>
  <si>
    <t>A34</t>
  </si>
  <si>
    <t>A35</t>
  </si>
  <si>
    <t>A36</t>
  </si>
  <si>
    <t>A37</t>
  </si>
  <si>
    <t>A38</t>
  </si>
  <si>
    <t>A39</t>
  </si>
  <si>
    <t>A40</t>
  </si>
  <si>
    <t>A41</t>
  </si>
  <si>
    <t>A42</t>
  </si>
  <si>
    <t>A43</t>
  </si>
  <si>
    <t>A44</t>
  </si>
  <si>
    <t>A45</t>
  </si>
  <si>
    <t>A46</t>
  </si>
  <si>
    <t>A47</t>
  </si>
  <si>
    <t>A48</t>
  </si>
  <si>
    <t>A49</t>
  </si>
  <si>
    <t>A50</t>
  </si>
  <si>
    <t>A51</t>
  </si>
  <si>
    <t>A52</t>
  </si>
  <si>
    <t>A53</t>
  </si>
  <si>
    <t>A54</t>
  </si>
  <si>
    <t>A55</t>
  </si>
  <si>
    <t>A56</t>
  </si>
  <si>
    <t>A57</t>
  </si>
  <si>
    <t>A58</t>
  </si>
  <si>
    <t>A59</t>
  </si>
  <si>
    <t>A60</t>
  </si>
  <si>
    <t>A61</t>
  </si>
  <si>
    <t>A62</t>
  </si>
  <si>
    <t>A63</t>
  </si>
  <si>
    <t>A64</t>
  </si>
  <si>
    <t>A65</t>
  </si>
  <si>
    <t>A66</t>
  </si>
  <si>
    <t>A67</t>
  </si>
  <si>
    <t>A68</t>
  </si>
  <si>
    <t>A69</t>
  </si>
  <si>
    <t>A70</t>
  </si>
  <si>
    <t>A71</t>
  </si>
  <si>
    <t>A72</t>
  </si>
  <si>
    <t>A73</t>
  </si>
  <si>
    <t>A74</t>
  </si>
  <si>
    <t>A75</t>
  </si>
  <si>
    <t>A76</t>
  </si>
  <si>
    <t>A77</t>
  </si>
  <si>
    <t>A78</t>
  </si>
  <si>
    <t>A79</t>
  </si>
  <si>
    <t>#Sustainability</t>
  </si>
  <si>
    <t>#AppleEarth</t>
  </si>
  <si>
    <t>A80</t>
  </si>
  <si>
    <t>A81</t>
  </si>
  <si>
    <t>A82</t>
  </si>
  <si>
    <t>A83</t>
  </si>
  <si>
    <t>A84</t>
  </si>
  <si>
    <t>A85</t>
  </si>
  <si>
    <t>A86</t>
  </si>
  <si>
    <t>A87</t>
  </si>
  <si>
    <t>A88</t>
  </si>
  <si>
    <t>A89</t>
  </si>
  <si>
    <t>A90</t>
  </si>
  <si>
    <t>A91</t>
  </si>
  <si>
    <t>A92</t>
  </si>
  <si>
    <t>A93</t>
  </si>
  <si>
    <t>A94</t>
  </si>
  <si>
    <t>A95</t>
  </si>
  <si>
    <t>A96</t>
  </si>
  <si>
    <t>A97</t>
  </si>
  <si>
    <t>A98</t>
  </si>
  <si>
    <t>A99</t>
  </si>
  <si>
    <t>A100</t>
  </si>
  <si>
    <t>A101</t>
  </si>
  <si>
    <t>A102</t>
  </si>
  <si>
    <t>A103</t>
  </si>
  <si>
    <t>A104</t>
  </si>
  <si>
    <t>A105</t>
  </si>
  <si>
    <t>A106</t>
  </si>
  <si>
    <t>A107</t>
  </si>
  <si>
    <t>A108</t>
  </si>
  <si>
    <t>A109</t>
  </si>
  <si>
    <t>A110</t>
  </si>
  <si>
    <t>A111</t>
  </si>
  <si>
    <t>A112</t>
  </si>
  <si>
    <t>A113</t>
  </si>
  <si>
    <t>A114</t>
  </si>
  <si>
    <t>A115</t>
  </si>
  <si>
    <t>A116</t>
  </si>
  <si>
    <t>A117</t>
  </si>
  <si>
    <t>A118</t>
  </si>
  <si>
    <t>A119</t>
  </si>
  <si>
    <t>A120</t>
  </si>
  <si>
    <t>A121</t>
  </si>
  <si>
    <t>A122</t>
  </si>
  <si>
    <t>A123</t>
  </si>
  <si>
    <t>A124</t>
  </si>
  <si>
    <t>A125</t>
  </si>
  <si>
    <t>A126</t>
  </si>
  <si>
    <t>A127</t>
  </si>
  <si>
    <t>A128</t>
  </si>
  <si>
    <t>A129</t>
  </si>
  <si>
    <t>A130</t>
  </si>
  <si>
    <t>A131</t>
  </si>
  <si>
    <t>A132</t>
  </si>
  <si>
    <t>A133</t>
  </si>
  <si>
    <t>A134</t>
  </si>
  <si>
    <t>A135</t>
  </si>
  <si>
    <t>A136</t>
  </si>
  <si>
    <t>A137</t>
  </si>
  <si>
    <t>A138</t>
  </si>
  <si>
    <t>A139</t>
  </si>
  <si>
    <t>A140</t>
  </si>
  <si>
    <t>A141</t>
  </si>
  <si>
    <t>A142</t>
  </si>
  <si>
    <t>A143</t>
  </si>
  <si>
    <t>A144</t>
  </si>
  <si>
    <t>A145</t>
  </si>
  <si>
    <t>A146</t>
  </si>
  <si>
    <t>A147</t>
  </si>
  <si>
    <t>A148</t>
  </si>
  <si>
    <t>A149</t>
  </si>
  <si>
    <t>A150</t>
  </si>
  <si>
    <t>A151</t>
  </si>
  <si>
    <t>A152</t>
  </si>
  <si>
    <t>A153</t>
  </si>
  <si>
    <t>A154</t>
  </si>
  <si>
    <t>A155</t>
  </si>
  <si>
    <t>A156</t>
  </si>
  <si>
    <t>A157</t>
  </si>
  <si>
    <t>A158</t>
  </si>
  <si>
    <t>A159</t>
  </si>
  <si>
    <t>A160</t>
  </si>
  <si>
    <t>A161</t>
  </si>
  <si>
    <t>A162</t>
  </si>
  <si>
    <t>A163</t>
  </si>
  <si>
    <t>A164</t>
  </si>
  <si>
    <t>A165</t>
  </si>
  <si>
    <t>A166</t>
  </si>
  <si>
    <t>A167</t>
  </si>
  <si>
    <t>A168</t>
  </si>
  <si>
    <t>A169</t>
  </si>
  <si>
    <t>A170</t>
  </si>
  <si>
    <t>A171</t>
  </si>
  <si>
    <t>A172</t>
  </si>
  <si>
    <t>A173</t>
  </si>
  <si>
    <t>A174</t>
  </si>
  <si>
    <t>A175</t>
  </si>
  <si>
    <t>A176</t>
  </si>
  <si>
    <t>A177</t>
  </si>
  <si>
    <t>A178</t>
  </si>
  <si>
    <t>A179</t>
  </si>
  <si>
    <t>A180</t>
  </si>
  <si>
    <t>A181</t>
  </si>
  <si>
    <t>A182</t>
  </si>
  <si>
    <t>A183</t>
  </si>
  <si>
    <t>A184</t>
  </si>
  <si>
    <t>A185</t>
  </si>
  <si>
    <t>A186</t>
  </si>
  <si>
    <t>A187</t>
  </si>
  <si>
    <t>A188</t>
  </si>
  <si>
    <t>A189</t>
  </si>
  <si>
    <t>A190</t>
  </si>
  <si>
    <t>A191</t>
  </si>
  <si>
    <t>A192</t>
  </si>
  <si>
    <t>A193</t>
  </si>
  <si>
    <t>A194</t>
  </si>
  <si>
    <t>A195</t>
  </si>
  <si>
    <t>A196</t>
  </si>
  <si>
    <t>A197</t>
  </si>
  <si>
    <t>A198</t>
  </si>
  <si>
    <t>A199</t>
  </si>
  <si>
    <t>A200</t>
  </si>
  <si>
    <t>A201</t>
  </si>
  <si>
    <t>A202</t>
  </si>
  <si>
    <t>A203</t>
  </si>
  <si>
    <t>A204</t>
  </si>
  <si>
    <t>A205</t>
  </si>
  <si>
    <t>A206</t>
  </si>
  <si>
    <t>A207</t>
  </si>
  <si>
    <t>A208</t>
  </si>
  <si>
    <t>A209</t>
  </si>
  <si>
    <t>A210</t>
  </si>
  <si>
    <t>A211</t>
  </si>
  <si>
    <t>A212</t>
  </si>
  <si>
    <t>A213</t>
  </si>
  <si>
    <t>A214</t>
  </si>
  <si>
    <t>A215</t>
  </si>
  <si>
    <t>A216</t>
  </si>
  <si>
    <t>A217</t>
  </si>
  <si>
    <t>A218</t>
  </si>
  <si>
    <t>A219</t>
  </si>
  <si>
    <t>A220</t>
  </si>
  <si>
    <t>A221</t>
  </si>
  <si>
    <t>A222</t>
  </si>
  <si>
    <t>A223</t>
  </si>
  <si>
    <t>A224</t>
  </si>
  <si>
    <t>A225</t>
  </si>
  <si>
    <t>A226</t>
  </si>
  <si>
    <t>A227</t>
  </si>
  <si>
    <t>A228</t>
  </si>
  <si>
    <t>A229</t>
  </si>
  <si>
    <t>A230</t>
  </si>
  <si>
    <t>A231</t>
  </si>
  <si>
    <t>A232</t>
  </si>
  <si>
    <t>A233</t>
  </si>
  <si>
    <t>A234</t>
  </si>
  <si>
    <t>A235</t>
  </si>
  <si>
    <t>A236</t>
  </si>
  <si>
    <t>A237</t>
  </si>
  <si>
    <t>A238</t>
  </si>
  <si>
    <t>A239</t>
  </si>
  <si>
    <t>A240</t>
  </si>
  <si>
    <t>A241</t>
  </si>
  <si>
    <t>A242</t>
  </si>
  <si>
    <t>A243</t>
  </si>
  <si>
    <t>A244</t>
  </si>
  <si>
    <t>A245</t>
  </si>
  <si>
    <t>A246</t>
  </si>
  <si>
    <t>A247</t>
  </si>
  <si>
    <t>A248</t>
  </si>
  <si>
    <t>A249</t>
  </si>
  <si>
    <t>A250</t>
  </si>
  <si>
    <t>A251</t>
  </si>
  <si>
    <t>A252</t>
  </si>
  <si>
    <t>A253</t>
  </si>
  <si>
    <t>A254</t>
  </si>
  <si>
    <t>A255</t>
  </si>
  <si>
    <t>A256</t>
  </si>
  <si>
    <t>A257</t>
  </si>
  <si>
    <t>A258</t>
  </si>
  <si>
    <t>A259</t>
  </si>
  <si>
    <t>A260</t>
  </si>
  <si>
    <t>A261</t>
  </si>
  <si>
    <t>A262</t>
  </si>
  <si>
    <t>A263</t>
  </si>
  <si>
    <t>A264</t>
  </si>
  <si>
    <t>A265</t>
  </si>
  <si>
    <t>A266</t>
  </si>
  <si>
    <t>A267</t>
  </si>
  <si>
    <t>A268</t>
  </si>
  <si>
    <t>A269</t>
  </si>
  <si>
    <t>A270</t>
  </si>
  <si>
    <t>A271</t>
  </si>
  <si>
    <t>A272</t>
  </si>
  <si>
    <t>A273</t>
  </si>
  <si>
    <t>A274</t>
  </si>
  <si>
    <t>A275</t>
  </si>
  <si>
    <t>A276</t>
  </si>
  <si>
    <t>A277</t>
  </si>
  <si>
    <t>A278</t>
  </si>
  <si>
    <t>A279</t>
  </si>
  <si>
    <t>A280</t>
  </si>
  <si>
    <t>A281</t>
  </si>
  <si>
    <t>A282</t>
  </si>
  <si>
    <t>A283</t>
  </si>
  <si>
    <t>A284</t>
  </si>
  <si>
    <t>A285</t>
  </si>
  <si>
    <t>A286</t>
  </si>
  <si>
    <t>A287</t>
  </si>
  <si>
    <t>A288</t>
  </si>
  <si>
    <t>A289</t>
  </si>
  <si>
    <t>A290</t>
  </si>
  <si>
    <t>A291</t>
  </si>
  <si>
    <t>A292</t>
  </si>
  <si>
    <t>A293</t>
  </si>
  <si>
    <t>A294</t>
  </si>
  <si>
    <t>A295</t>
  </si>
  <si>
    <t>A296</t>
  </si>
  <si>
    <t>A297</t>
  </si>
  <si>
    <t>A298</t>
  </si>
  <si>
    <t>A299</t>
  </si>
  <si>
    <t>A300</t>
  </si>
  <si>
    <t>Engagement_rate</t>
  </si>
  <si>
    <t>Row Labels</t>
  </si>
  <si>
    <t>Grand Total</t>
  </si>
  <si>
    <t>Average of Engagement_rate</t>
  </si>
  <si>
    <t>Average Engagement Rate Per Platform</t>
  </si>
  <si>
    <t>Top 10 Apple Posts</t>
  </si>
  <si>
    <t>Sum of Likes</t>
  </si>
  <si>
    <t>Sum of Shares</t>
  </si>
  <si>
    <t>Sum of Comments</t>
  </si>
  <si>
    <t>Total Likes, Shares, Comments by Content Type &amp; Platform</t>
  </si>
  <si>
    <t>Average of Clicks</t>
  </si>
  <si>
    <t>Average Clicks per Post by Hashtag</t>
  </si>
  <si>
    <t>HASHTAG_1</t>
  </si>
  <si>
    <t>HASHTAG_2</t>
  </si>
  <si>
    <t>TASK_2------&gt;PIVOT TABLE</t>
  </si>
  <si>
    <t>HASHTAGS</t>
  </si>
  <si>
    <t>CLICKS</t>
  </si>
  <si>
    <t>Average of CLICKS</t>
  </si>
  <si>
    <t>RANKS</t>
  </si>
  <si>
    <t>Highlight top-performing hashtags</t>
  </si>
  <si>
    <t>HASHTAGS ANALYSIS</t>
  </si>
  <si>
    <t>TASK_2</t>
  </si>
  <si>
    <t>PURPOSE</t>
  </si>
  <si>
    <t>METHOD USED</t>
  </si>
  <si>
    <t>To  Calculate average engagement rate per platform</t>
  </si>
  <si>
    <r>
      <t>Engagement Rate = (Likes + Shares + Comments) / Impressions</t>
    </r>
    <r>
      <rPr>
        <b/>
        <sz val="12"/>
        <color theme="1"/>
        <rFont val="Calibri"/>
        <family val="2"/>
        <scheme val="minor"/>
      </rPr>
      <t>[(G+H+I)/L]</t>
    </r>
  </si>
  <si>
    <t>PIVOT table for average engagement rate per platform</t>
  </si>
  <si>
    <t>To  Identify Top 10 Apple posts with highest engagement</t>
  </si>
  <si>
    <r>
      <rPr>
        <b/>
        <sz val="12"/>
        <color theme="1"/>
        <rFont val="Calibri"/>
        <family val="2"/>
        <scheme val="minor"/>
      </rPr>
      <t xml:space="preserve">SORT FUNCTION: </t>
    </r>
    <r>
      <rPr>
        <sz val="12"/>
        <color theme="1"/>
        <rFont val="Calibri"/>
        <family val="2"/>
        <scheme val="minor"/>
      </rPr>
      <t>Engagement_Rate Order--&gt;Largest to Smallest</t>
    </r>
    <r>
      <rPr>
        <b/>
        <sz val="11"/>
        <color theme="1"/>
        <rFont val="Calibri"/>
        <family val="2"/>
        <scheme val="minor"/>
      </rPr>
      <t xml:space="preserve">
</t>
    </r>
  </si>
  <si>
    <r>
      <t>A)ROW:</t>
    </r>
    <r>
      <rPr>
        <sz val="12"/>
        <color theme="1"/>
        <rFont val="Calibri"/>
        <family val="2"/>
        <scheme val="minor"/>
      </rPr>
      <t xml:space="preserve">ContentType,Platform </t>
    </r>
    <r>
      <rPr>
        <b/>
        <sz val="12"/>
        <color theme="1"/>
        <rFont val="Calibri"/>
        <family val="2"/>
        <scheme val="minor"/>
      </rPr>
      <t xml:space="preserve"> VALUES:</t>
    </r>
    <r>
      <rPr>
        <sz val="12"/>
        <color theme="1"/>
        <rFont val="Calibri"/>
        <family val="2"/>
        <scheme val="minor"/>
      </rPr>
      <t xml:space="preserve"> Sum of Likes,share,comment</t>
    </r>
  </si>
  <si>
    <r>
      <t>To   Create a pivot table showing: A)Total Likes, Shares, Comments by Content Type &amp; Platform
  B) Average Clicks per post by Hashtag</t>
    </r>
    <r>
      <rPr>
        <b/>
        <sz val="14"/>
        <color theme="1"/>
        <rFont val="Calibri"/>
        <family val="2"/>
        <scheme val="minor"/>
      </rPr>
      <t xml:space="preserve"> </t>
    </r>
  </si>
  <si>
    <t xml:space="preserve">To  Highlight top-performing hashtags </t>
  </si>
  <si>
    <r>
      <t>B)ROWS:</t>
    </r>
    <r>
      <rPr>
        <sz val="12"/>
        <color theme="1"/>
        <rFont val="Calibri"/>
        <family val="2"/>
        <scheme val="minor"/>
      </rPr>
      <t xml:space="preserve">Hashtags </t>
    </r>
    <r>
      <rPr>
        <b/>
        <sz val="12"/>
        <color theme="1"/>
        <rFont val="Calibri"/>
        <family val="2"/>
        <scheme val="minor"/>
      </rPr>
      <t>VALUES:</t>
    </r>
    <r>
      <rPr>
        <sz val="12"/>
        <color theme="1"/>
        <rFont val="Calibri"/>
        <family val="2"/>
        <scheme val="minor"/>
      </rPr>
      <t>,Average Clicks</t>
    </r>
  </si>
  <si>
    <t>Average Clicks,Filter( #ShotOniPhone, #AppleEvent, 
#iPhone16Launch, #MacBookAir.),Conditional formatting</t>
  </si>
  <si>
    <t>I first calculated the Engagement Rate for every post in the dataset. I have used sort funtion to  large to the small value to arrange. This list shows top10 apple posts. It is   helping to  plan better campaigns in the future</t>
  </si>
  <si>
    <t xml:space="preserve">I have used  pivot table to find the average  engagement rate per platform </t>
  </si>
  <si>
    <t>I have to created a pivot table to sum the total of Likes, Shares, and Comments and  categorized by both platform and content type</t>
  </si>
  <si>
    <r>
      <rPr>
        <b/>
        <sz val="14"/>
        <color theme="1"/>
        <rFont val="Calibri"/>
        <family val="2"/>
        <scheme val="minor"/>
      </rPr>
      <t>Average Clicks per post by Hashtag</t>
    </r>
    <r>
      <rPr>
        <sz val="14"/>
        <color theme="1"/>
        <rFont val="Calibri"/>
        <family val="2"/>
        <scheme val="minor"/>
      </rPr>
      <t xml:space="preserve"> </t>
    </r>
  </si>
  <si>
    <t>I merged the hashtags1 and hashtags2 for finging Average Clicks per post by each Hashtag because the hashtags1 name also repeat in the hashtags 2.After merged column then created the pivot table to average of clicks for hashtags</t>
  </si>
  <si>
    <t>I have used to filter the most specificied hashtags such ass such as #ShotOniPhone, #AppleEvent, #iPhone16Launch, #MacBookAir. After I have used  conditional formatting to highlight the which is top performing hashtags above hashtags</t>
  </si>
  <si>
    <t xml:space="preserve"> A) We got know that Engagement rate for each post from post datasets that we have identify the top 10 apple post with help of likes, shares, and comments which shows the strong user interaction this help to improve the attraction of users</t>
  </si>
  <si>
    <t xml:space="preserve">    B) We got know that analyzed total likes, shares, and comments by content type and platform. We have to understand which type of content performs better on each platform.</t>
  </si>
  <si>
    <t>C)We calculated the average clicks per post by hashtagand we have to highlight Hashtags such as #ShotOniPhone, #AppleEvent, #iPhone16Launch, and #MacBookAir this show that  better performance and help increase user engagement.</t>
  </si>
  <si>
    <t>For overall analysis,Twitter has the highest engagement rate.Hashtags like  #iPhone16Launch and#MacBookAir perform well.Apple should use high-performing hashtags and create engaging content to improve overall performance on social media.</t>
  </si>
  <si>
    <t>TASK_2.1&amp;2.2</t>
  </si>
  <si>
    <t>TASK_2.4</t>
  </si>
  <si>
    <t>TASK_2.3(A)</t>
  </si>
  <si>
    <t>Count of PostID</t>
  </si>
  <si>
    <t>TASK_2.3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</si>
</sst>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1"/>
      <color theme="1"/>
      <name val="Calibri"/>
      <family val="2"/>
      <scheme val="minor"/>
    </font>
    <font>
      <b/>
      <sz val="11"/>
      <color theme="1"/>
      <name val="Calibri"/>
      <family val="2"/>
      <scheme val="minor"/>
    </font>
    <font>
      <b/>
      <sz val="11"/>
      <color theme="1"/>
      <name val="Calibri"/>
      <family val="2"/>
    </font>
    <font>
      <sz val="11"/>
      <color theme="1"/>
      <name val="Calibri"/>
      <family val="2"/>
      <scheme val="minor"/>
    </font>
    <font>
      <sz val="11"/>
      <color theme="1"/>
      <name val="Calibri"/>
      <family val="2"/>
    </font>
    <font>
      <b/>
      <sz val="12"/>
      <color theme="8" tint="-0.249977111117893"/>
      <name val="Calibri"/>
      <family val="2"/>
      <scheme val="minor"/>
    </font>
    <font>
      <b/>
      <sz val="11"/>
      <color theme="1"/>
      <name val="Calibri"/>
      <family val="2"/>
    </font>
    <font>
      <b/>
      <sz val="12"/>
      <color theme="1"/>
      <name val="Calibri"/>
      <family val="2"/>
      <scheme val="minor"/>
    </font>
    <font>
      <b/>
      <sz val="14"/>
      <color theme="1"/>
      <name val="Calibri"/>
      <family val="2"/>
      <scheme val="minor"/>
    </font>
    <font>
      <b/>
      <sz val="22"/>
      <color theme="1"/>
      <name val="Calibri"/>
      <family val="2"/>
      <scheme val="minor"/>
    </font>
    <font>
      <sz val="12"/>
      <color theme="1"/>
      <name val="Calibri"/>
      <family val="2"/>
      <scheme val="minor"/>
    </font>
    <font>
      <b/>
      <sz val="14"/>
      <color theme="4" tint="-0.249977111117893"/>
      <name val="Calibri"/>
      <family val="2"/>
      <scheme val="minor"/>
    </font>
    <font>
      <sz val="14"/>
      <color theme="1"/>
      <name val="Calibri"/>
      <family val="2"/>
      <scheme val="minor"/>
    </font>
    <font>
      <sz val="20"/>
      <color theme="1"/>
      <name val="Calibri"/>
      <family val="2"/>
      <scheme val="minor"/>
    </font>
    <font>
      <sz val="22"/>
      <color theme="1"/>
      <name val="Calibri"/>
      <family val="2"/>
      <scheme val="minor"/>
    </font>
    <font>
      <sz val="24"/>
      <color theme="1"/>
      <name val="Calibri"/>
      <family val="2"/>
      <scheme val="minor"/>
    </font>
    <font>
      <sz val="11"/>
      <color theme="4" tint="-0.499984740745262"/>
      <name val="Calibri"/>
      <family val="2"/>
      <scheme val="minor"/>
    </font>
    <font>
      <b/>
      <sz val="12"/>
      <color theme="4" tint="-0.499984740745262"/>
      <name val="Calibri"/>
      <family val="2"/>
      <scheme val="minor"/>
    </font>
    <font>
      <sz val="16"/>
      <color theme="1"/>
      <name val="Calibri"/>
      <family val="2"/>
      <scheme val="minor"/>
    </font>
    <font>
      <b/>
      <sz val="16"/>
      <color theme="1"/>
      <name val="Calibri"/>
      <family val="2"/>
      <scheme val="minor"/>
    </font>
    <font>
      <sz val="8"/>
      <name val="Calibri"/>
      <family val="2"/>
      <scheme val="minor"/>
    </font>
    <font>
      <b/>
      <sz val="18"/>
      <color theme="1"/>
      <name val="Calibri"/>
      <family val="2"/>
      <scheme val="minor"/>
    </font>
    <font>
      <b/>
      <sz val="20"/>
      <color theme="1"/>
      <name val="Calibri"/>
      <family val="2"/>
      <scheme val="minor"/>
    </font>
  </fonts>
  <fills count="18">
    <fill>
      <patternFill patternType="none"/>
    </fill>
    <fill>
      <patternFill patternType="gray125"/>
    </fill>
    <fill>
      <patternFill patternType="solid">
        <fgColor theme="8" tint="-0.249977111117893"/>
        <bgColor indexed="64"/>
      </patternFill>
    </fill>
    <fill>
      <patternFill patternType="solid">
        <fgColor theme="5" tint="0.59999389629810485"/>
        <bgColor indexed="64"/>
      </patternFill>
    </fill>
    <fill>
      <patternFill patternType="solid">
        <fgColor rgb="FFFF0066"/>
        <bgColor indexed="64"/>
      </patternFill>
    </fill>
    <fill>
      <patternFill patternType="solid">
        <fgColor rgb="FF00B0F0"/>
        <bgColor indexed="64"/>
      </patternFill>
    </fill>
    <fill>
      <patternFill patternType="solid">
        <fgColor theme="4"/>
        <bgColor indexed="64"/>
      </patternFill>
    </fill>
    <fill>
      <patternFill patternType="solid">
        <fgColor theme="4" tint="0.79998168889431442"/>
        <bgColor indexed="64"/>
      </patternFill>
    </fill>
    <fill>
      <patternFill patternType="solid">
        <fgColor theme="8"/>
        <bgColor indexed="64"/>
      </patternFill>
    </fill>
    <fill>
      <patternFill patternType="solid">
        <fgColor theme="5" tint="0.39997558519241921"/>
        <bgColor indexed="64"/>
      </patternFill>
    </fill>
    <fill>
      <patternFill patternType="solid">
        <fgColor theme="4" tint="0.39997558519241921"/>
        <bgColor indexed="64"/>
      </patternFill>
    </fill>
    <fill>
      <patternFill patternType="solid">
        <fgColor theme="2" tint="-0.249977111117893"/>
        <bgColor indexed="64"/>
      </patternFill>
    </fill>
    <fill>
      <patternFill patternType="solid">
        <fgColor theme="0" tint="-0.34998626667073579"/>
        <bgColor indexed="64"/>
      </patternFill>
    </fill>
    <fill>
      <patternFill patternType="solid">
        <fgColor theme="0" tint="-0.499984740745262"/>
        <bgColor indexed="64"/>
      </patternFill>
    </fill>
    <fill>
      <patternFill patternType="solid">
        <fgColor theme="0" tint="-0.14999847407452621"/>
        <bgColor indexed="64"/>
      </patternFill>
    </fill>
    <fill>
      <patternFill patternType="solid">
        <fgColor theme="6" tint="0.79998168889431442"/>
        <bgColor indexed="64"/>
      </patternFill>
    </fill>
    <fill>
      <patternFill patternType="solid">
        <fgColor theme="0" tint="-0.249977111117893"/>
        <bgColor indexed="64"/>
      </patternFill>
    </fill>
    <fill>
      <patternFill patternType="solid">
        <fgColor theme="6"/>
        <bgColor indexed="64"/>
      </patternFill>
    </fill>
  </fills>
  <borders count="57">
    <border>
      <left/>
      <right/>
      <top/>
      <bottom/>
      <diagonal/>
    </border>
    <border>
      <left style="thin">
        <color rgb="FF000000"/>
      </left>
      <right style="thin">
        <color rgb="FF000000"/>
      </right>
      <top style="thin">
        <color rgb="FF000000"/>
      </top>
      <bottom style="thin">
        <color rgb="FF000000"/>
      </bottom>
      <diagonal/>
    </border>
    <border>
      <left style="medium">
        <color rgb="FF000000"/>
      </left>
      <right style="medium">
        <color rgb="FF000000"/>
      </right>
      <top style="medium">
        <color rgb="FF000000"/>
      </top>
      <bottom style="medium">
        <color rgb="FF000000"/>
      </bottom>
      <diagonal/>
    </border>
    <border>
      <left style="medium">
        <color rgb="FFCCCCCC"/>
      </left>
      <right style="medium">
        <color rgb="FFCCCCCC"/>
      </right>
      <top style="medium">
        <color rgb="FFCCCCCC"/>
      </top>
      <bottom style="medium">
        <color rgb="FFCCCCCC"/>
      </bottom>
      <diagonal/>
    </border>
    <border>
      <left style="thin">
        <color indexed="64"/>
      </left>
      <right style="thin">
        <color indexed="64"/>
      </right>
      <top style="thin">
        <color indexed="64"/>
      </top>
      <bottom style="thin">
        <color indexed="64"/>
      </bottom>
      <diagonal/>
    </border>
    <border>
      <left/>
      <right/>
      <top style="medium">
        <color indexed="64"/>
      </top>
      <bottom/>
      <diagonal/>
    </border>
    <border>
      <left/>
      <right/>
      <top/>
      <bottom style="medium">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ck">
        <color indexed="64"/>
      </left>
      <right style="thick">
        <color indexed="64"/>
      </right>
      <top style="thick">
        <color indexed="64"/>
      </top>
      <bottom style="thick">
        <color indexed="64"/>
      </bottom>
      <diagonal/>
    </border>
    <border>
      <left style="thick">
        <color indexed="64"/>
      </left>
      <right style="thin">
        <color indexed="64"/>
      </right>
      <top style="thin">
        <color indexed="64"/>
      </top>
      <bottom style="thick">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ck">
        <color indexed="64"/>
      </bottom>
      <diagonal/>
    </border>
    <border>
      <left style="thick">
        <color indexed="64"/>
      </left>
      <right style="thin">
        <color indexed="64"/>
      </right>
      <top style="thick">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style="thick">
        <color indexed="64"/>
      </top>
      <bottom style="thin">
        <color indexed="64"/>
      </bottom>
      <diagonal/>
    </border>
    <border>
      <left style="thick">
        <color theme="1"/>
      </left>
      <right style="thick">
        <color theme="1"/>
      </right>
      <top style="thick">
        <color theme="1"/>
      </top>
      <bottom style="thick">
        <color theme="1"/>
      </bottom>
      <diagonal/>
    </border>
    <border>
      <left style="thick">
        <color indexed="64"/>
      </left>
      <right/>
      <top style="thick">
        <color indexed="64"/>
      </top>
      <bottom style="thick">
        <color indexed="64"/>
      </bottom>
      <diagonal/>
    </border>
    <border>
      <left style="thick">
        <color theme="1"/>
      </left>
      <right/>
      <top/>
      <bottom/>
      <diagonal/>
    </border>
    <border>
      <left style="thin">
        <color indexed="64"/>
      </left>
      <right/>
      <top style="thin">
        <color indexed="64"/>
      </top>
      <bottom style="thick">
        <color indexed="64"/>
      </bottom>
      <diagonal/>
    </border>
    <border>
      <left style="thin">
        <color indexed="64"/>
      </left>
      <right/>
      <top/>
      <bottom style="thin">
        <color indexed="64"/>
      </bottom>
      <diagonal/>
    </border>
    <border>
      <left style="thin">
        <color indexed="64"/>
      </left>
      <right/>
      <top style="thin">
        <color indexed="64"/>
      </top>
      <bottom/>
      <diagonal/>
    </border>
    <border>
      <left style="thin">
        <color indexed="64"/>
      </left>
      <right/>
      <top style="thick">
        <color indexed="64"/>
      </top>
      <bottom style="thin">
        <color indexed="64"/>
      </bottom>
      <diagonal/>
    </border>
    <border>
      <left style="thick">
        <color indexed="64"/>
      </left>
      <right style="thick">
        <color indexed="64"/>
      </right>
      <top/>
      <bottom style="thick">
        <color indexed="64"/>
      </bottom>
      <diagonal/>
    </border>
    <border>
      <left style="medium">
        <color theme="1"/>
      </left>
      <right/>
      <top style="medium">
        <color theme="1"/>
      </top>
      <bottom/>
      <diagonal/>
    </border>
    <border>
      <left/>
      <right/>
      <top style="medium">
        <color theme="1"/>
      </top>
      <bottom/>
      <diagonal/>
    </border>
    <border>
      <left/>
      <right style="medium">
        <color theme="1"/>
      </right>
      <top style="medium">
        <color theme="1"/>
      </top>
      <bottom/>
      <diagonal/>
    </border>
    <border>
      <left/>
      <right style="medium">
        <color theme="1"/>
      </right>
      <top/>
      <bottom/>
      <diagonal/>
    </border>
    <border>
      <left style="medium">
        <color theme="1"/>
      </left>
      <right/>
      <top/>
      <bottom style="medium">
        <color theme="1"/>
      </bottom>
      <diagonal/>
    </border>
    <border>
      <left/>
      <right/>
      <top/>
      <bottom style="medium">
        <color theme="1"/>
      </bottom>
      <diagonal/>
    </border>
    <border>
      <left/>
      <right style="medium">
        <color theme="1"/>
      </right>
      <top/>
      <bottom style="medium">
        <color theme="1"/>
      </bottom>
      <diagonal/>
    </border>
    <border>
      <left style="medium">
        <color theme="1"/>
      </left>
      <right style="medium">
        <color theme="1"/>
      </right>
      <top style="thin">
        <color rgb="FF000000"/>
      </top>
      <bottom/>
      <diagonal/>
    </border>
    <border>
      <left style="medium">
        <color theme="1"/>
      </left>
      <right style="medium">
        <color theme="1"/>
      </right>
      <top/>
      <bottom style="medium">
        <color theme="1"/>
      </bottom>
      <diagonal/>
    </border>
    <border>
      <left style="medium">
        <color theme="1"/>
      </left>
      <right style="medium">
        <color theme="1"/>
      </right>
      <top/>
      <bottom/>
      <diagonal/>
    </border>
    <border>
      <left style="medium">
        <color theme="1"/>
      </left>
      <right style="medium">
        <color theme="1"/>
      </right>
      <top style="medium">
        <color rgb="FF000000"/>
      </top>
      <bottom style="medium">
        <color rgb="FFCCCCCC"/>
      </bottom>
      <diagonal/>
    </border>
    <border>
      <left style="medium">
        <color theme="1"/>
      </left>
      <right style="medium">
        <color theme="1"/>
      </right>
      <top style="medium">
        <color rgb="FFCCCCCC"/>
      </top>
      <bottom style="medium">
        <color rgb="FFCCCCCC"/>
      </bottom>
      <diagonal/>
    </border>
    <border>
      <left style="medium">
        <color theme="1"/>
      </left>
      <right style="medium">
        <color theme="1"/>
      </right>
      <top style="medium">
        <color rgb="FFCCCCCC"/>
      </top>
      <bottom style="medium">
        <color theme="1"/>
      </bottom>
      <diagonal/>
    </border>
    <border>
      <left style="medium">
        <color theme="1"/>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medium">
        <color theme="1"/>
      </right>
      <top/>
      <bottom style="thin">
        <color rgb="FF000000"/>
      </bottom>
      <diagonal/>
    </border>
    <border>
      <left style="medium">
        <color theme="1"/>
      </left>
      <right style="medium">
        <color theme="1"/>
      </right>
      <top/>
      <bottom style="thin">
        <color rgb="FF000000"/>
      </bottom>
      <diagonal/>
    </border>
    <border>
      <left/>
      <right style="medium">
        <color rgb="FF000000"/>
      </right>
      <top/>
      <bottom style="medium">
        <color rgb="FF000000"/>
      </bottom>
      <diagonal/>
    </border>
    <border>
      <left/>
      <right style="medium">
        <color theme="1"/>
      </right>
      <top style="medium">
        <color indexed="64"/>
      </top>
      <bottom/>
      <diagonal/>
    </border>
    <border>
      <left style="thin">
        <color indexed="64"/>
      </left>
      <right style="medium">
        <color theme="1"/>
      </right>
      <top style="thin">
        <color indexed="64"/>
      </top>
      <bottom style="thin">
        <color indexed="64"/>
      </bottom>
      <diagonal/>
    </border>
    <border>
      <left/>
      <right style="medium">
        <color theme="1"/>
      </right>
      <top style="thin">
        <color indexed="64"/>
      </top>
      <bottom style="thin">
        <color indexed="64"/>
      </bottom>
      <diagonal/>
    </border>
    <border>
      <left style="medium">
        <color theme="1"/>
      </left>
      <right style="medium">
        <color theme="1"/>
      </right>
      <top style="medium">
        <color theme="1"/>
      </top>
      <bottom style="medium">
        <color theme="1"/>
      </bottom>
      <diagonal/>
    </border>
    <border>
      <left style="medium">
        <color theme="1"/>
      </left>
      <right style="medium">
        <color theme="1"/>
      </right>
      <top style="medium">
        <color theme="1"/>
      </top>
      <bottom/>
      <diagonal/>
    </border>
    <border>
      <left style="medium">
        <color theme="1"/>
      </left>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172">
    <xf numFmtId="0" fontId="0" fillId="0" borderId="0" xfId="0"/>
    <xf numFmtId="0" fontId="2" fillId="2" borderId="1" xfId="0" applyFont="1" applyFill="1" applyBorder="1" applyAlignment="1">
      <alignment horizontal="center" vertical="top"/>
    </xf>
    <xf numFmtId="49" fontId="2" fillId="2" borderId="1" xfId="0" applyNumberFormat="1" applyFont="1" applyFill="1" applyBorder="1" applyAlignment="1">
      <alignment horizontal="center" vertical="top"/>
    </xf>
    <xf numFmtId="14" fontId="2" fillId="2" borderId="1" xfId="0" applyNumberFormat="1" applyFont="1" applyFill="1" applyBorder="1" applyAlignment="1">
      <alignment horizontal="center" vertical="top"/>
    </xf>
    <xf numFmtId="1" fontId="2" fillId="2" borderId="1" xfId="0" applyNumberFormat="1" applyFont="1" applyFill="1" applyBorder="1" applyAlignment="1">
      <alignment horizontal="center" vertical="top"/>
    </xf>
    <xf numFmtId="1" fontId="2" fillId="2" borderId="2" xfId="0" applyNumberFormat="1" applyFont="1" applyFill="1" applyBorder="1" applyAlignment="1">
      <alignment horizontal="center" vertical="top" wrapText="1"/>
    </xf>
    <xf numFmtId="0" fontId="3" fillId="0" borderId="0" xfId="0" applyFont="1"/>
    <xf numFmtId="49" fontId="3" fillId="0" borderId="0" xfId="0" applyNumberFormat="1" applyFont="1"/>
    <xf numFmtId="14" fontId="4" fillId="0" borderId="0" xfId="0" applyNumberFormat="1" applyFont="1" applyAlignment="1">
      <alignment horizontal="center"/>
    </xf>
    <xf numFmtId="1" fontId="3" fillId="0" borderId="0" xfId="0" applyNumberFormat="1" applyFont="1"/>
    <xf numFmtId="1" fontId="4" fillId="0" borderId="3" xfId="0" applyNumberFormat="1" applyFont="1" applyBorder="1" applyAlignment="1">
      <alignment horizontal="right" wrapText="1"/>
    </xf>
    <xf numFmtId="10" fontId="0" fillId="0" borderId="0" xfId="0" applyNumberFormat="1"/>
    <xf numFmtId="0" fontId="0" fillId="0" borderId="0" xfId="0" pivotButton="1"/>
    <xf numFmtId="0" fontId="0" fillId="0" borderId="0" xfId="0" applyAlignment="1">
      <alignment horizontal="left"/>
    </xf>
    <xf numFmtId="0" fontId="6" fillId="2" borderId="1" xfId="0" applyFont="1" applyFill="1" applyBorder="1" applyAlignment="1">
      <alignment horizontal="center" vertical="top"/>
    </xf>
    <xf numFmtId="10" fontId="6" fillId="2" borderId="0" xfId="0" applyNumberFormat="1" applyFont="1" applyFill="1" applyAlignment="1">
      <alignment horizontal="center" vertical="top"/>
    </xf>
    <xf numFmtId="0" fontId="0" fillId="0" borderId="0" xfId="0" applyAlignment="1">
      <alignment horizontal="left" indent="1"/>
    </xf>
    <xf numFmtId="1" fontId="0" fillId="0" borderId="0" xfId="0" applyNumberFormat="1"/>
    <xf numFmtId="49" fontId="0" fillId="0" borderId="0" xfId="0" applyNumberFormat="1"/>
    <xf numFmtId="0" fontId="0" fillId="6" borderId="0" xfId="0" applyFill="1"/>
    <xf numFmtId="0" fontId="0" fillId="0" borderId="21" xfId="0" applyBorder="1"/>
    <xf numFmtId="10" fontId="6" fillId="4" borderId="30" xfId="0" applyNumberFormat="1" applyFont="1" applyFill="1" applyBorder="1" applyAlignment="1">
      <alignment horizontal="center" vertical="top"/>
    </xf>
    <xf numFmtId="10" fontId="0" fillId="0" borderId="30" xfId="0" applyNumberFormat="1" applyBorder="1"/>
    <xf numFmtId="10" fontId="0" fillId="0" borderId="33" xfId="0" applyNumberFormat="1" applyBorder="1"/>
    <xf numFmtId="0" fontId="3" fillId="0" borderId="34" xfId="0" applyFont="1" applyBorder="1"/>
    <xf numFmtId="0" fontId="3" fillId="0" borderId="36" xfId="0" applyFont="1" applyBorder="1"/>
    <xf numFmtId="0" fontId="3" fillId="0" borderId="35" xfId="0" applyFont="1" applyBorder="1"/>
    <xf numFmtId="49" fontId="3" fillId="0" borderId="34" xfId="0" applyNumberFormat="1" applyFont="1" applyBorder="1"/>
    <xf numFmtId="49" fontId="3" fillId="0" borderId="36" xfId="0" applyNumberFormat="1" applyFont="1" applyBorder="1"/>
    <xf numFmtId="49" fontId="3" fillId="0" borderId="35" xfId="0" applyNumberFormat="1" applyFont="1" applyBorder="1"/>
    <xf numFmtId="14" fontId="4" fillId="0" borderId="34" xfId="0" applyNumberFormat="1" applyFont="1" applyBorder="1" applyAlignment="1">
      <alignment horizontal="center"/>
    </xf>
    <xf numFmtId="14" fontId="4" fillId="0" borderId="36" xfId="0" applyNumberFormat="1" applyFont="1" applyBorder="1" applyAlignment="1">
      <alignment horizontal="center"/>
    </xf>
    <xf numFmtId="14" fontId="4" fillId="0" borderId="35" xfId="0" applyNumberFormat="1" applyFont="1" applyBorder="1" applyAlignment="1">
      <alignment horizontal="center"/>
    </xf>
    <xf numFmtId="1" fontId="3" fillId="0" borderId="30" xfId="0" applyNumberFormat="1" applyFont="1" applyBorder="1"/>
    <xf numFmtId="1" fontId="3" fillId="0" borderId="33" xfId="0" applyNumberFormat="1" applyFont="1" applyBorder="1"/>
    <xf numFmtId="1" fontId="3" fillId="0" borderId="36" xfId="0" applyNumberFormat="1" applyFont="1" applyBorder="1"/>
    <xf numFmtId="1" fontId="3" fillId="0" borderId="35" xfId="0" applyNumberFormat="1" applyFont="1" applyBorder="1"/>
    <xf numFmtId="1" fontId="4" fillId="0" borderId="37" xfId="0" applyNumberFormat="1" applyFont="1" applyBorder="1" applyAlignment="1">
      <alignment horizontal="right" wrapText="1"/>
    </xf>
    <xf numFmtId="1" fontId="4" fillId="0" borderId="38" xfId="0" applyNumberFormat="1" applyFont="1" applyBorder="1" applyAlignment="1">
      <alignment horizontal="right" wrapText="1"/>
    </xf>
    <xf numFmtId="1" fontId="4" fillId="0" borderId="39" xfId="0" applyNumberFormat="1" applyFont="1" applyBorder="1" applyAlignment="1">
      <alignment horizontal="right" wrapText="1"/>
    </xf>
    <xf numFmtId="0" fontId="6" fillId="4" borderId="40" xfId="0" applyFont="1" applyFill="1" applyBorder="1" applyAlignment="1">
      <alignment horizontal="center" vertical="top"/>
    </xf>
    <xf numFmtId="49" fontId="6" fillId="4" borderId="41" xfId="0" applyNumberFormat="1" applyFont="1" applyFill="1" applyBorder="1" applyAlignment="1">
      <alignment horizontal="center" vertical="top"/>
    </xf>
    <xf numFmtId="14" fontId="2" fillId="4" borderId="41" xfId="0" applyNumberFormat="1" applyFont="1" applyFill="1" applyBorder="1" applyAlignment="1">
      <alignment horizontal="center" vertical="top"/>
    </xf>
    <xf numFmtId="49" fontId="2" fillId="4" borderId="41" xfId="0" applyNumberFormat="1" applyFont="1" applyFill="1" applyBorder="1" applyAlignment="1">
      <alignment horizontal="center" vertical="top"/>
    </xf>
    <xf numFmtId="1" fontId="2" fillId="4" borderId="42" xfId="0" applyNumberFormat="1" applyFont="1" applyFill="1" applyBorder="1" applyAlignment="1">
      <alignment horizontal="center" vertical="top"/>
    </xf>
    <xf numFmtId="1" fontId="2" fillId="4" borderId="43" xfId="0" applyNumberFormat="1" applyFont="1" applyFill="1" applyBorder="1" applyAlignment="1">
      <alignment horizontal="center" vertical="top"/>
    </xf>
    <xf numFmtId="1" fontId="2" fillId="4" borderId="44" xfId="0" applyNumberFormat="1" applyFont="1" applyFill="1" applyBorder="1" applyAlignment="1">
      <alignment horizontal="center" vertical="top" wrapText="1"/>
    </xf>
    <xf numFmtId="0" fontId="2" fillId="4" borderId="43" xfId="0" applyFont="1" applyFill="1" applyBorder="1" applyAlignment="1">
      <alignment horizontal="center" vertical="top"/>
    </xf>
    <xf numFmtId="0" fontId="0" fillId="7" borderId="45" xfId="0" applyFill="1" applyBorder="1"/>
    <xf numFmtId="0" fontId="0" fillId="0" borderId="46" xfId="0" applyBorder="1"/>
    <xf numFmtId="0" fontId="0" fillId="0" borderId="47" xfId="0" applyBorder="1"/>
    <xf numFmtId="0" fontId="0" fillId="0" borderId="33" xfId="0" applyBorder="1"/>
    <xf numFmtId="1" fontId="0" fillId="0" borderId="49" xfId="0" applyNumberFormat="1" applyBorder="1"/>
    <xf numFmtId="1" fontId="0" fillId="0" borderId="36" xfId="0" applyNumberFormat="1" applyBorder="1"/>
    <xf numFmtId="1" fontId="0" fillId="0" borderId="35" xfId="0" applyNumberFormat="1" applyBorder="1"/>
    <xf numFmtId="0" fontId="0" fillId="0" borderId="48" xfId="0" pivotButton="1" applyBorder="1"/>
    <xf numFmtId="0" fontId="0" fillId="0" borderId="49" xfId="0" applyBorder="1" applyAlignment="1">
      <alignment horizontal="left"/>
    </xf>
    <xf numFmtId="0" fontId="0" fillId="0" borderId="36" xfId="0" applyBorder="1" applyAlignment="1">
      <alignment horizontal="left"/>
    </xf>
    <xf numFmtId="0" fontId="0" fillId="0" borderId="35" xfId="0" applyBorder="1" applyAlignment="1">
      <alignment horizontal="left"/>
    </xf>
    <xf numFmtId="0" fontId="0" fillId="0" borderId="48" xfId="0" applyBorder="1" applyAlignment="1">
      <alignment horizontal="left"/>
    </xf>
    <xf numFmtId="0" fontId="0" fillId="0" borderId="48" xfId="0" applyBorder="1"/>
    <xf numFmtId="0" fontId="0" fillId="0" borderId="0" xfId="0" applyAlignment="1">
      <alignment horizontal="center" wrapText="1"/>
    </xf>
    <xf numFmtId="0" fontId="0" fillId="0" borderId="0" xfId="0" applyAlignment="1">
      <alignment wrapText="1"/>
    </xf>
    <xf numFmtId="0" fontId="0" fillId="0" borderId="50" xfId="0" applyBorder="1" applyAlignment="1">
      <alignment horizontal="left"/>
    </xf>
    <xf numFmtId="0" fontId="0" fillId="0" borderId="0" xfId="0" applyAlignment="1">
      <alignment horizontal="center"/>
    </xf>
    <xf numFmtId="0" fontId="16" fillId="13" borderId="51" xfId="0" applyFont="1" applyFill="1" applyBorder="1" applyAlignment="1">
      <alignment horizontal="center" wrapText="1"/>
    </xf>
    <xf numFmtId="0" fontId="0" fillId="13" borderId="5" xfId="0" applyFill="1" applyBorder="1" applyAlignment="1">
      <alignment horizontal="center" wrapText="1"/>
    </xf>
    <xf numFmtId="0" fontId="0" fillId="13" borderId="52" xfId="0" applyFill="1" applyBorder="1" applyAlignment="1">
      <alignment horizontal="center" wrapText="1"/>
    </xf>
    <xf numFmtId="0" fontId="0" fillId="13" borderId="53" xfId="0" applyFill="1" applyBorder="1" applyAlignment="1">
      <alignment horizontal="center" wrapText="1"/>
    </xf>
    <xf numFmtId="0" fontId="0" fillId="13" borderId="0" xfId="0" applyFill="1" applyAlignment="1">
      <alignment horizontal="center" wrapText="1"/>
    </xf>
    <xf numFmtId="0" fontId="0" fillId="13" borderId="54" xfId="0" applyFill="1" applyBorder="1" applyAlignment="1">
      <alignment horizontal="center" wrapText="1"/>
    </xf>
    <xf numFmtId="0" fontId="0" fillId="13" borderId="55" xfId="0" applyFill="1" applyBorder="1" applyAlignment="1">
      <alignment horizontal="center" wrapText="1"/>
    </xf>
    <xf numFmtId="0" fontId="0" fillId="13" borderId="6" xfId="0" applyFill="1" applyBorder="1" applyAlignment="1">
      <alignment horizontal="center" wrapText="1"/>
    </xf>
    <xf numFmtId="0" fontId="0" fillId="13" borderId="56" xfId="0" applyFill="1" applyBorder="1" applyAlignment="1">
      <alignment horizontal="center" wrapText="1"/>
    </xf>
    <xf numFmtId="0" fontId="0" fillId="13" borderId="53" xfId="0" applyFill="1" applyBorder="1" applyAlignment="1">
      <alignment vertical="center" wrapText="1"/>
    </xf>
    <xf numFmtId="0" fontId="0" fillId="13" borderId="0" xfId="0" applyFill="1" applyAlignment="1">
      <alignment vertical="center" wrapText="1"/>
    </xf>
    <xf numFmtId="0" fontId="0" fillId="13" borderId="54" xfId="0" applyFill="1" applyBorder="1" applyAlignment="1">
      <alignment vertical="center" wrapText="1"/>
    </xf>
    <xf numFmtId="0" fontId="0" fillId="13" borderId="53" xfId="0" applyFill="1" applyBorder="1" applyAlignment="1">
      <alignment horizontal="left" wrapText="1"/>
    </xf>
    <xf numFmtId="0" fontId="0" fillId="13" borderId="0" xfId="0" applyFill="1" applyAlignment="1">
      <alignment horizontal="left" wrapText="1"/>
    </xf>
    <xf numFmtId="0" fontId="0" fillId="13" borderId="54" xfId="0" applyFill="1" applyBorder="1" applyAlignment="1">
      <alignment horizontal="left" wrapText="1"/>
    </xf>
    <xf numFmtId="0" fontId="0" fillId="13" borderId="55" xfId="0" applyFill="1" applyBorder="1" applyAlignment="1">
      <alignment horizontal="left" wrapText="1"/>
    </xf>
    <xf numFmtId="0" fontId="0" fillId="13" borderId="6" xfId="0" applyFill="1" applyBorder="1" applyAlignment="1">
      <alignment horizontal="left" wrapText="1"/>
    </xf>
    <xf numFmtId="0" fontId="0" fillId="13" borderId="56" xfId="0" applyFill="1" applyBorder="1" applyAlignment="1">
      <alignment horizontal="left" wrapText="1"/>
    </xf>
    <xf numFmtId="0" fontId="0" fillId="0" borderId="0" xfId="0" applyAlignment="1">
      <alignment horizontal="center"/>
    </xf>
    <xf numFmtId="0" fontId="9" fillId="9" borderId="27" xfId="0" applyFont="1" applyFill="1" applyBorder="1" applyAlignment="1">
      <alignment horizontal="center" vertical="center"/>
    </xf>
    <xf numFmtId="0" fontId="1" fillId="9" borderId="28" xfId="0" applyFont="1" applyFill="1" applyBorder="1" applyAlignment="1">
      <alignment horizontal="center" vertical="center"/>
    </xf>
    <xf numFmtId="0" fontId="1" fillId="9" borderId="29" xfId="0" applyFont="1" applyFill="1" applyBorder="1" applyAlignment="1">
      <alignment horizontal="center" vertical="center"/>
    </xf>
    <xf numFmtId="0" fontId="1" fillId="9" borderId="31" xfId="0" applyFont="1" applyFill="1" applyBorder="1" applyAlignment="1">
      <alignment horizontal="center" vertical="center"/>
    </xf>
    <xf numFmtId="0" fontId="1" fillId="9" borderId="32" xfId="0" applyFont="1" applyFill="1" applyBorder="1" applyAlignment="1">
      <alignment horizontal="center" vertical="center"/>
    </xf>
    <xf numFmtId="0" fontId="1" fillId="9" borderId="33" xfId="0" applyFont="1" applyFill="1" applyBorder="1" applyAlignment="1">
      <alignment horizontal="center" vertical="center"/>
    </xf>
    <xf numFmtId="0" fontId="5" fillId="3" borderId="0" xfId="0" applyFont="1" applyFill="1" applyAlignment="1">
      <alignment horizontal="center"/>
    </xf>
    <xf numFmtId="0" fontId="0" fillId="3" borderId="0" xfId="0" applyFill="1" applyAlignment="1">
      <alignment horizontal="center"/>
    </xf>
    <xf numFmtId="0" fontId="1" fillId="4" borderId="0" xfId="0" applyFont="1" applyFill="1" applyAlignment="1">
      <alignment horizontal="center"/>
    </xf>
    <xf numFmtId="0" fontId="0" fillId="4" borderId="0" xfId="0" applyFill="1" applyAlignment="1">
      <alignment horizontal="center"/>
    </xf>
    <xf numFmtId="0" fontId="0" fillId="13" borderId="51" xfId="0" applyFill="1" applyBorder="1" applyAlignment="1">
      <alignment horizontal="left" wrapText="1"/>
    </xf>
    <xf numFmtId="0" fontId="0" fillId="13" borderId="5" xfId="0" applyFill="1" applyBorder="1" applyAlignment="1">
      <alignment horizontal="left" wrapText="1"/>
    </xf>
    <xf numFmtId="0" fontId="0" fillId="13" borderId="52" xfId="0" applyFill="1" applyBorder="1" applyAlignment="1">
      <alignment horizontal="left" wrapText="1"/>
    </xf>
    <xf numFmtId="0" fontId="8" fillId="4" borderId="27" xfId="0" applyFont="1" applyFill="1" applyBorder="1" applyAlignment="1">
      <alignment horizontal="center"/>
    </xf>
    <xf numFmtId="0" fontId="17" fillId="9" borderId="0" xfId="0" applyFont="1" applyFill="1" applyAlignment="1">
      <alignment horizontal="center"/>
    </xf>
    <xf numFmtId="0" fontId="16" fillId="9" borderId="0" xfId="0" applyFont="1" applyFill="1" applyAlignment="1">
      <alignment horizontal="center"/>
    </xf>
    <xf numFmtId="0" fontId="16" fillId="9" borderId="32" xfId="0" applyFont="1" applyFill="1" applyBorder="1" applyAlignment="1">
      <alignment horizontal="center"/>
    </xf>
    <xf numFmtId="0" fontId="11" fillId="3" borderId="0" xfId="0" applyFont="1" applyFill="1" applyAlignment="1">
      <alignment horizontal="center"/>
    </xf>
    <xf numFmtId="0" fontId="9" fillId="5" borderId="27" xfId="0" applyFont="1" applyFill="1" applyBorder="1" applyAlignment="1">
      <alignment horizontal="center" vertical="center"/>
    </xf>
    <xf numFmtId="0" fontId="1" fillId="5" borderId="28" xfId="0" applyFont="1" applyFill="1" applyBorder="1" applyAlignment="1">
      <alignment horizontal="center" vertical="center"/>
    </xf>
    <xf numFmtId="0" fontId="1" fillId="5" borderId="29" xfId="0" applyFont="1" applyFill="1" applyBorder="1" applyAlignment="1">
      <alignment horizontal="center" vertical="center"/>
    </xf>
    <xf numFmtId="0" fontId="1" fillId="5" borderId="31" xfId="0" applyFont="1" applyFill="1" applyBorder="1" applyAlignment="1">
      <alignment horizontal="center" vertical="center"/>
    </xf>
    <xf numFmtId="0" fontId="1" fillId="5" borderId="32" xfId="0" applyFont="1" applyFill="1" applyBorder="1" applyAlignment="1">
      <alignment horizontal="center" vertical="center"/>
    </xf>
    <xf numFmtId="0" fontId="1" fillId="5" borderId="33" xfId="0" applyFont="1" applyFill="1" applyBorder="1" applyAlignment="1">
      <alignment horizontal="center" vertical="center"/>
    </xf>
    <xf numFmtId="0" fontId="14" fillId="5" borderId="19" xfId="0" applyFont="1" applyFill="1" applyBorder="1" applyAlignment="1">
      <alignment horizontal="center"/>
    </xf>
    <xf numFmtId="0" fontId="0" fillId="5" borderId="19" xfId="0" applyFill="1" applyBorder="1" applyAlignment="1">
      <alignment horizontal="center"/>
    </xf>
    <xf numFmtId="0" fontId="13" fillId="6" borderId="19" xfId="0" applyFont="1" applyFill="1" applyBorder="1" applyAlignment="1">
      <alignment horizontal="center"/>
    </xf>
    <xf numFmtId="0" fontId="0" fillId="6" borderId="19" xfId="0" applyFill="1" applyBorder="1" applyAlignment="1">
      <alignment horizontal="center"/>
    </xf>
    <xf numFmtId="0" fontId="19" fillId="10" borderId="0" xfId="0" applyFont="1" applyFill="1" applyAlignment="1">
      <alignment horizontal="center" vertical="center" wrapText="1"/>
    </xf>
    <xf numFmtId="0" fontId="18" fillId="10" borderId="0" xfId="0" applyFont="1" applyFill="1" applyAlignment="1">
      <alignment horizontal="center" vertical="center" wrapText="1"/>
    </xf>
    <xf numFmtId="0" fontId="21" fillId="14" borderId="0" xfId="0" applyFont="1" applyFill="1" applyAlignment="1">
      <alignment horizontal="center"/>
    </xf>
    <xf numFmtId="0" fontId="0" fillId="14" borderId="0" xfId="0" applyFill="1" applyAlignment="1">
      <alignment horizontal="center"/>
    </xf>
    <xf numFmtId="0" fontId="12" fillId="0" borderId="26" xfId="0" applyFont="1" applyBorder="1" applyAlignment="1">
      <alignment horizontal="center" vertical="center"/>
    </xf>
    <xf numFmtId="0" fontId="12" fillId="0" borderId="9" xfId="0" applyFont="1" applyBorder="1" applyAlignment="1">
      <alignment horizontal="center" vertical="center"/>
    </xf>
    <xf numFmtId="0" fontId="10" fillId="0" borderId="11" xfId="0" applyFont="1" applyBorder="1" applyAlignment="1">
      <alignment horizontal="center"/>
    </xf>
    <xf numFmtId="0" fontId="10" fillId="0" borderId="12" xfId="0" applyFont="1" applyBorder="1" applyAlignment="1">
      <alignment horizontal="center"/>
    </xf>
    <xf numFmtId="0" fontId="10" fillId="0" borderId="23" xfId="0" applyFont="1" applyBorder="1" applyAlignment="1">
      <alignment horizontal="center"/>
    </xf>
    <xf numFmtId="0" fontId="10" fillId="0" borderId="13" xfId="0" applyFont="1" applyBorder="1" applyAlignment="1">
      <alignment horizontal="center"/>
    </xf>
    <xf numFmtId="0" fontId="0" fillId="0" borderId="4" xfId="0" applyBorder="1" applyAlignment="1">
      <alignment horizontal="center"/>
    </xf>
    <xf numFmtId="0" fontId="0" fillId="0" borderId="8" xfId="0" applyBorder="1" applyAlignment="1">
      <alignment horizontal="center"/>
    </xf>
    <xf numFmtId="0" fontId="0" fillId="0" borderId="10" xfId="0" applyBorder="1" applyAlignment="1">
      <alignment horizontal="center"/>
    </xf>
    <xf numFmtId="0" fontId="0" fillId="0" borderId="14" xfId="0" applyBorder="1" applyAlignment="1">
      <alignment horizontal="center"/>
    </xf>
    <xf numFmtId="0" fontId="0" fillId="0" borderId="22" xfId="0" applyBorder="1" applyAlignment="1">
      <alignment horizontal="center"/>
    </xf>
    <xf numFmtId="0" fontId="12" fillId="0" borderId="9" xfId="0" applyFont="1" applyBorder="1" applyAlignment="1">
      <alignment horizontal="center"/>
    </xf>
    <xf numFmtId="0" fontId="0" fillId="0" borderId="9" xfId="0" applyBorder="1" applyAlignment="1">
      <alignment horizontal="center"/>
    </xf>
    <xf numFmtId="0" fontId="0" fillId="0" borderId="20" xfId="0" applyBorder="1" applyAlignment="1">
      <alignment horizontal="center"/>
    </xf>
    <xf numFmtId="0" fontId="10" fillId="0" borderId="19" xfId="0" applyFont="1" applyBorder="1" applyAlignment="1">
      <alignment horizontal="center" wrapText="1"/>
    </xf>
    <xf numFmtId="0" fontId="0" fillId="0" borderId="19" xfId="0" applyBorder="1" applyAlignment="1">
      <alignment horizontal="center"/>
    </xf>
    <xf numFmtId="0" fontId="0" fillId="0" borderId="9" xfId="0" applyBorder="1" applyAlignment="1">
      <alignment horizontal="center" vertical="center"/>
    </xf>
    <xf numFmtId="0" fontId="0" fillId="0" borderId="11" xfId="0" applyBorder="1" applyAlignment="1">
      <alignment horizontal="center" vertical="top" wrapText="1"/>
    </xf>
    <xf numFmtId="0" fontId="0" fillId="0" borderId="12" xfId="0" applyBorder="1" applyAlignment="1">
      <alignment horizontal="center" vertical="top"/>
    </xf>
    <xf numFmtId="0" fontId="0" fillId="0" borderId="23" xfId="0" applyBorder="1" applyAlignment="1">
      <alignment horizontal="center" vertical="top"/>
    </xf>
    <xf numFmtId="0" fontId="0" fillId="0" borderId="16" xfId="0" applyBorder="1" applyAlignment="1">
      <alignment horizontal="center" vertical="top"/>
    </xf>
    <xf numFmtId="0" fontId="0" fillId="0" borderId="17" xfId="0" applyBorder="1" applyAlignment="1">
      <alignment horizontal="center" vertical="top"/>
    </xf>
    <xf numFmtId="0" fontId="0" fillId="0" borderId="24" xfId="0" applyBorder="1" applyAlignment="1">
      <alignment horizontal="center" vertical="top"/>
    </xf>
    <xf numFmtId="0" fontId="12" fillId="0" borderId="9" xfId="0" applyFont="1" applyBorder="1" applyAlignment="1">
      <alignment horizontal="center" wrapText="1"/>
    </xf>
    <xf numFmtId="0" fontId="0" fillId="0" borderId="9" xfId="0" applyBorder="1" applyAlignment="1">
      <alignment horizontal="center" wrapText="1"/>
    </xf>
    <xf numFmtId="0" fontId="7" fillId="0" borderId="15" xfId="0" applyFont="1" applyBorder="1" applyAlignment="1">
      <alignment horizontal="center"/>
    </xf>
    <xf numFmtId="0" fontId="0" fillId="0" borderId="18" xfId="0" applyBorder="1" applyAlignment="1">
      <alignment horizontal="center"/>
    </xf>
    <xf numFmtId="0" fontId="0" fillId="0" borderId="25" xfId="0" applyBorder="1" applyAlignment="1">
      <alignment horizontal="center"/>
    </xf>
    <xf numFmtId="0" fontId="0" fillId="0" borderId="13" xfId="0" applyBorder="1" applyAlignment="1">
      <alignment horizontal="center"/>
    </xf>
    <xf numFmtId="0" fontId="7" fillId="0" borderId="7" xfId="0" applyFont="1" applyBorder="1" applyAlignment="1">
      <alignment horizontal="center"/>
    </xf>
    <xf numFmtId="0" fontId="0" fillId="0" borderId="16" xfId="0" applyBorder="1" applyAlignment="1">
      <alignment horizontal="center"/>
    </xf>
    <xf numFmtId="0" fontId="0" fillId="0" borderId="17" xfId="0" applyBorder="1" applyAlignment="1">
      <alignment horizontal="center"/>
    </xf>
    <xf numFmtId="0" fontId="0" fillId="0" borderId="24" xfId="0" applyBorder="1" applyAlignment="1">
      <alignment horizontal="center"/>
    </xf>
    <xf numFmtId="0" fontId="7" fillId="13" borderId="0" xfId="0" applyFont="1" applyFill="1" applyAlignment="1">
      <alignment horizontal="center" vertical="center" wrapText="1"/>
    </xf>
    <xf numFmtId="0" fontId="0" fillId="13" borderId="0" xfId="0" applyFill="1" applyAlignment="1">
      <alignment horizontal="center" vertical="center" wrapText="1"/>
    </xf>
    <xf numFmtId="0" fontId="14" fillId="5" borderId="0" xfId="0" applyFont="1" applyFill="1" applyAlignment="1">
      <alignment horizontal="center"/>
    </xf>
    <xf numFmtId="0" fontId="0" fillId="5" borderId="0" xfId="0" applyFill="1" applyAlignment="1">
      <alignment horizontal="center"/>
    </xf>
    <xf numFmtId="0" fontId="7" fillId="11" borderId="0" xfId="0" applyFont="1" applyFill="1" applyAlignment="1">
      <alignment horizontal="center" vertical="center" wrapText="1"/>
    </xf>
    <xf numFmtId="0" fontId="0" fillId="11" borderId="0" xfId="0" applyFill="1" applyAlignment="1">
      <alignment horizontal="center" vertical="center" wrapText="1"/>
    </xf>
    <xf numFmtId="0" fontId="13" fillId="15" borderId="0" xfId="0" applyFont="1" applyFill="1" applyAlignment="1">
      <alignment horizontal="center" wrapText="1"/>
    </xf>
    <xf numFmtId="0" fontId="0" fillId="15" borderId="0" xfId="0" applyFill="1" applyAlignment="1">
      <alignment horizontal="center" wrapText="1"/>
    </xf>
    <xf numFmtId="0" fontId="15" fillId="8" borderId="0" xfId="0" applyFont="1" applyFill="1" applyAlignment="1">
      <alignment horizontal="center"/>
    </xf>
    <xf numFmtId="0" fontId="9" fillId="16" borderId="0" xfId="0" applyFont="1" applyFill="1" applyAlignment="1">
      <alignment horizontal="center" wrapText="1"/>
    </xf>
    <xf numFmtId="0" fontId="0" fillId="16" borderId="0" xfId="0" applyFill="1" applyAlignment="1">
      <alignment horizontal="center" wrapText="1"/>
    </xf>
    <xf numFmtId="0" fontId="0" fillId="16" borderId="32" xfId="0" applyFill="1" applyBorder="1" applyAlignment="1">
      <alignment horizontal="center" wrapText="1"/>
    </xf>
    <xf numFmtId="0" fontId="8" fillId="4" borderId="28" xfId="0" applyFont="1" applyFill="1" applyBorder="1" applyAlignment="1">
      <alignment horizontal="center"/>
    </xf>
    <xf numFmtId="0" fontId="8" fillId="4" borderId="29" xfId="0" applyFont="1" applyFill="1" applyBorder="1" applyAlignment="1">
      <alignment horizontal="center"/>
    </xf>
    <xf numFmtId="0" fontId="8" fillId="4" borderId="50" xfId="0" applyFont="1" applyFill="1" applyBorder="1" applyAlignment="1">
      <alignment horizontal="center"/>
    </xf>
    <xf numFmtId="0" fontId="8" fillId="4" borderId="0" xfId="0" applyFont="1" applyFill="1" applyAlignment="1">
      <alignment horizontal="center"/>
    </xf>
    <xf numFmtId="0" fontId="8" fillId="4" borderId="30" xfId="0" applyFont="1" applyFill="1" applyBorder="1" applyAlignment="1">
      <alignment horizontal="center"/>
    </xf>
    <xf numFmtId="0" fontId="12" fillId="4" borderId="0" xfId="0" applyFont="1" applyFill="1" applyAlignment="1">
      <alignment horizontal="center"/>
    </xf>
    <xf numFmtId="0" fontId="0" fillId="4" borderId="32" xfId="0" applyFill="1" applyBorder="1" applyAlignment="1">
      <alignment horizontal="center"/>
    </xf>
    <xf numFmtId="0" fontId="19" fillId="12" borderId="0" xfId="0" applyFont="1" applyFill="1" applyAlignment="1">
      <alignment horizontal="center" wrapText="1"/>
    </xf>
    <xf numFmtId="0" fontId="0" fillId="12" borderId="0" xfId="0" applyFill="1" applyAlignment="1">
      <alignment horizontal="center" wrapText="1"/>
    </xf>
    <xf numFmtId="0" fontId="0" fillId="17" borderId="0" xfId="0" applyFill="1" applyAlignment="1">
      <alignment horizontal="center" wrapText="1"/>
    </xf>
    <xf numFmtId="0" fontId="22" fillId="17" borderId="0" xfId="0" applyFont="1" applyFill="1" applyAlignment="1">
      <alignment horizontal="center" wrapText="1"/>
    </xf>
  </cellXfs>
  <cellStyles count="1">
    <cellStyle name="Normal" xfId="0" builtinId="0"/>
  </cellStyles>
  <dxfs count="31">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font>
        <color rgb="FF006100"/>
      </font>
      <fill>
        <patternFill>
          <bgColor rgb="FFC6EFCE"/>
        </patternFill>
      </fill>
    </dxf>
    <dxf>
      <font>
        <color rgb="FF006100"/>
      </font>
      <fill>
        <patternFill>
          <bgColor rgb="FFC6EFCE"/>
        </patternFill>
      </fill>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s>
  <tableStyles count="0" defaultTableStyle="TableStyleMedium2" defaultPivotStyle="PivotStyleLight16"/>
  <colors>
    <mruColors>
      <color rgb="FFFF0066"/>
      <color rgb="FF0099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5" Type="http://schemas.openxmlformats.org/officeDocument/2006/relationships/pivotCacheDefinition" Target="pivotCache/pivotCacheDefinition1.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0</xdr:col>
      <xdr:colOff>191017</xdr:colOff>
      <xdr:row>1</xdr:row>
      <xdr:rowOff>19357</xdr:rowOff>
    </xdr:from>
    <xdr:to>
      <xdr:col>17</xdr:col>
      <xdr:colOff>506703</xdr:colOff>
      <xdr:row>3</xdr:row>
      <xdr:rowOff>89794</xdr:rowOff>
    </xdr:to>
    <xdr:sp macro="" textlink="">
      <xdr:nvSpPr>
        <xdr:cNvPr id="2" name="Rectangle: Rounded Corners 1">
          <a:extLst>
            <a:ext uri="{FF2B5EF4-FFF2-40B4-BE49-F238E27FC236}">
              <a16:creationId xmlns:a16="http://schemas.microsoft.com/office/drawing/2014/main" id="{6DF96659-C110-1874-5BCC-6176741CCDE6}"/>
            </a:ext>
          </a:extLst>
        </xdr:cNvPr>
        <xdr:cNvSpPr/>
      </xdr:nvSpPr>
      <xdr:spPr>
        <a:xfrm>
          <a:off x="191017" y="201065"/>
          <a:ext cx="16528701" cy="433852"/>
        </a:xfrm>
        <a:prstGeom prst="roundRect">
          <a:avLst>
            <a:gd name="adj" fmla="val 20238"/>
          </a:avLst>
        </a:prstGeom>
        <a:solidFill>
          <a:srgbClr val="0099CC"/>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r>
            <a:rPr lang="en-IN" sz="2000" b="0" cap="none" spc="0">
              <a:ln w="0"/>
              <a:solidFill>
                <a:schemeClr val="tx1"/>
              </a:solidFill>
              <a:effectLst>
                <a:outerShdw blurRad="38100" dist="19050" dir="2700000" algn="tl" rotWithShape="0">
                  <a:schemeClr val="dk1">
                    <a:alpha val="40000"/>
                  </a:schemeClr>
                </a:outerShdw>
              </a:effectLst>
            </a:rPr>
            <a:t>TASK_2</a:t>
          </a:r>
          <a:r>
            <a:rPr lang="en-IN" sz="2000" b="0" cap="none" spc="0" baseline="0">
              <a:ln w="0"/>
              <a:solidFill>
                <a:schemeClr val="tx1"/>
              </a:solidFill>
              <a:effectLst>
                <a:outerShdw blurRad="38100" dist="19050" dir="2700000" algn="tl" rotWithShape="0">
                  <a:schemeClr val="dk1">
                    <a:alpha val="40000"/>
                  </a:schemeClr>
                </a:outerShdw>
              </a:effectLst>
            </a:rPr>
            <a:t> DASHBOARD - </a:t>
          </a:r>
          <a:r>
            <a:rPr lang="en-IN" sz="2000" b="0" cap="none" spc="0">
              <a:ln w="0"/>
              <a:solidFill>
                <a:schemeClr val="tx1"/>
              </a:solidFill>
              <a:effectLst>
                <a:outerShdw blurRad="38100" dist="19050" dir="2700000" algn="tl" rotWithShape="0">
                  <a:schemeClr val="dk1">
                    <a:alpha val="40000"/>
                  </a:schemeClr>
                </a:outerShdw>
              </a:effectLst>
            </a:rPr>
            <a:t>Engagement Analysis</a:t>
          </a:r>
          <a:endParaRPr lang="en-IN" sz="2000"/>
        </a:p>
      </xdr:txBody>
    </xdr:sp>
    <xdr:clientData/>
  </xdr:twoCellAnchor>
  <xdr:twoCellAnchor>
    <xdr:from>
      <xdr:col>10</xdr:col>
      <xdr:colOff>9309</xdr:colOff>
      <xdr:row>37</xdr:row>
      <xdr:rowOff>191018</xdr:rowOff>
    </xdr:from>
    <xdr:to>
      <xdr:col>16</xdr:col>
      <xdr:colOff>1037492</xdr:colOff>
      <xdr:row>39</xdr:row>
      <xdr:rowOff>161366</xdr:rowOff>
    </xdr:to>
    <xdr:sp macro="" textlink="">
      <xdr:nvSpPr>
        <xdr:cNvPr id="3" name="Rectangle: Rounded Corners 2">
          <a:extLst>
            <a:ext uri="{FF2B5EF4-FFF2-40B4-BE49-F238E27FC236}">
              <a16:creationId xmlns:a16="http://schemas.microsoft.com/office/drawing/2014/main" id="{D4C114C6-EB4A-50FD-A0EC-217909AECDDC}"/>
            </a:ext>
          </a:extLst>
        </xdr:cNvPr>
        <xdr:cNvSpPr/>
      </xdr:nvSpPr>
      <xdr:spPr>
        <a:xfrm>
          <a:off x="9516724" y="7136941"/>
          <a:ext cx="6684568" cy="345487"/>
        </a:xfrm>
        <a:prstGeom prst="roundRect">
          <a:avLst/>
        </a:prstGeom>
        <a:solidFill>
          <a:schemeClr val="bg2">
            <a:lumMod val="90000"/>
          </a:schemeClr>
        </a:solidFill>
        <a:ln>
          <a:solidFill>
            <a:schemeClr val="bg1"/>
          </a:solidFill>
        </a:ln>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r>
            <a:rPr lang="en-IN" sz="1600" b="1" cap="none" spc="0">
              <a:ln w="12700">
                <a:solidFill>
                  <a:schemeClr val="accent3">
                    <a:lumMod val="50000"/>
                  </a:schemeClr>
                </a:solidFill>
                <a:prstDash val="solid"/>
              </a:ln>
              <a:solidFill>
                <a:schemeClr val="tx1"/>
              </a:solidFill>
              <a:effectLst>
                <a:innerShdw blurRad="177800">
                  <a:schemeClr val="accent3">
                    <a:lumMod val="50000"/>
                  </a:schemeClr>
                </a:innerShdw>
              </a:effectLst>
            </a:rPr>
            <a:t>FINAL</a:t>
          </a:r>
          <a:r>
            <a:rPr lang="en-IN" sz="1600" b="1" cap="none" spc="0" baseline="0">
              <a:ln w="12700">
                <a:solidFill>
                  <a:schemeClr val="accent3">
                    <a:lumMod val="50000"/>
                  </a:schemeClr>
                </a:solidFill>
                <a:prstDash val="solid"/>
              </a:ln>
              <a:solidFill>
                <a:schemeClr val="tx1"/>
              </a:solidFill>
              <a:effectLst>
                <a:innerShdw blurRad="177800">
                  <a:schemeClr val="accent3">
                    <a:lumMod val="50000"/>
                  </a:schemeClr>
                </a:innerShdw>
              </a:effectLst>
            </a:rPr>
            <a:t> CONCLUSION</a:t>
          </a:r>
          <a:endParaRPr lang="en-IN" sz="1600">
            <a:solidFill>
              <a:schemeClr val="tx1"/>
            </a:solidFill>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ukazh" refreshedDate="46130.495971643519" createdVersion="8" refreshedVersion="8" minRefreshableVersion="3" recordCount="300" xr:uid="{5459CF66-F34E-4EEE-A9F1-FB42FF96FE06}">
  <cacheSource type="worksheet">
    <worksheetSource ref="A1:N301" sheet="post datasets_2.1&amp;2.2"/>
  </cacheSource>
  <cacheFields count="14">
    <cacheField name="PostID" numFmtId="0">
      <sharedItems count="300">
        <s v="A1"/>
        <s v="A2"/>
        <s v="A3"/>
        <s v="A4"/>
        <s v="A5"/>
        <s v="A6"/>
        <s v="A7"/>
        <s v="A8"/>
        <s v="A9"/>
        <s v="A10"/>
        <s v="A11"/>
        <s v="A12"/>
        <s v="A13"/>
        <s v="A14"/>
        <s v="A15"/>
        <s v="A16"/>
        <s v="A17"/>
        <s v="A18"/>
        <s v="A19"/>
        <s v="A20"/>
        <s v="A21"/>
        <s v="A22"/>
        <s v="A23"/>
        <s v="A24"/>
        <s v="A25"/>
        <s v="A26"/>
        <s v="A27"/>
        <s v="A28"/>
        <s v="A29"/>
        <s v="A30"/>
        <s v="A31"/>
        <s v="A32"/>
        <s v="A33"/>
        <s v="A34"/>
        <s v="A35"/>
        <s v="A36"/>
        <s v="A37"/>
        <s v="A38"/>
        <s v="A39"/>
        <s v="A40"/>
        <s v="A41"/>
        <s v="A42"/>
        <s v="A43"/>
        <s v="A44"/>
        <s v="A45"/>
        <s v="A46"/>
        <s v="A47"/>
        <s v="A48"/>
        <s v="A49"/>
        <s v="A50"/>
        <s v="A51"/>
        <s v="A52"/>
        <s v="A53"/>
        <s v="A54"/>
        <s v="A55"/>
        <s v="A56"/>
        <s v="A57"/>
        <s v="A58"/>
        <s v="A59"/>
        <s v="A60"/>
        <s v="A61"/>
        <s v="A62"/>
        <s v="A63"/>
        <s v="A64"/>
        <s v="A65"/>
        <s v="A66"/>
        <s v="A67"/>
        <s v="A68"/>
        <s v="A69"/>
        <s v="A70"/>
        <s v="A71"/>
        <s v="A72"/>
        <s v="A73"/>
        <s v="A74"/>
        <s v="A75"/>
        <s v="A76"/>
        <s v="A77"/>
        <s v="A78"/>
        <s v="A79"/>
        <s v="A80"/>
        <s v="A81"/>
        <s v="A82"/>
        <s v="A83"/>
        <s v="A84"/>
        <s v="A85"/>
        <s v="A86"/>
        <s v="A87"/>
        <s v="A88"/>
        <s v="A89"/>
        <s v="A90"/>
        <s v="A91"/>
        <s v="A92"/>
        <s v="A93"/>
        <s v="A94"/>
        <s v="A95"/>
        <s v="A96"/>
        <s v="A97"/>
        <s v="A98"/>
        <s v="A99"/>
        <s v="A100"/>
        <s v="A101"/>
        <s v="A102"/>
        <s v="A103"/>
        <s v="A104"/>
        <s v="A105"/>
        <s v="A106"/>
        <s v="A107"/>
        <s v="A108"/>
        <s v="A109"/>
        <s v="A110"/>
        <s v="A111"/>
        <s v="A112"/>
        <s v="A113"/>
        <s v="A114"/>
        <s v="A115"/>
        <s v="A116"/>
        <s v="A117"/>
        <s v="A118"/>
        <s v="A119"/>
        <s v="A120"/>
        <s v="A121"/>
        <s v="A122"/>
        <s v="A123"/>
        <s v="A124"/>
        <s v="A125"/>
        <s v="A126"/>
        <s v="A127"/>
        <s v="A128"/>
        <s v="A129"/>
        <s v="A130"/>
        <s v="A131"/>
        <s v="A132"/>
        <s v="A133"/>
        <s v="A134"/>
        <s v="A135"/>
        <s v="A136"/>
        <s v="A137"/>
        <s v="A138"/>
        <s v="A139"/>
        <s v="A140"/>
        <s v="A141"/>
        <s v="A142"/>
        <s v="A143"/>
        <s v="A144"/>
        <s v="A145"/>
        <s v="A146"/>
        <s v="A147"/>
        <s v="A148"/>
        <s v="A149"/>
        <s v="A150"/>
        <s v="A151"/>
        <s v="A152"/>
        <s v="A153"/>
        <s v="A154"/>
        <s v="A155"/>
        <s v="A156"/>
        <s v="A157"/>
        <s v="A158"/>
        <s v="A159"/>
        <s v="A160"/>
        <s v="A161"/>
        <s v="A162"/>
        <s v="A163"/>
        <s v="A164"/>
        <s v="A165"/>
        <s v="A166"/>
        <s v="A167"/>
        <s v="A168"/>
        <s v="A169"/>
        <s v="A170"/>
        <s v="A171"/>
        <s v="A172"/>
        <s v="A173"/>
        <s v="A174"/>
        <s v="A175"/>
        <s v="A176"/>
        <s v="A177"/>
        <s v="A178"/>
        <s v="A179"/>
        <s v="A180"/>
        <s v="A181"/>
        <s v="A182"/>
        <s v="A183"/>
        <s v="A184"/>
        <s v="A185"/>
        <s v="A186"/>
        <s v="A187"/>
        <s v="A188"/>
        <s v="A189"/>
        <s v="A190"/>
        <s v="A191"/>
        <s v="A192"/>
        <s v="A193"/>
        <s v="A194"/>
        <s v="A195"/>
        <s v="A196"/>
        <s v="A197"/>
        <s v="A198"/>
        <s v="A199"/>
        <s v="A200"/>
        <s v="A201"/>
        <s v="A202"/>
        <s v="A203"/>
        <s v="A204"/>
        <s v="A205"/>
        <s v="A206"/>
        <s v="A207"/>
        <s v="A208"/>
        <s v="A209"/>
        <s v="A210"/>
        <s v="A211"/>
        <s v="A212"/>
        <s v="A213"/>
        <s v="A214"/>
        <s v="A215"/>
        <s v="A216"/>
        <s v="A217"/>
        <s v="A218"/>
        <s v="A219"/>
        <s v="A220"/>
        <s v="A221"/>
        <s v="A222"/>
        <s v="A223"/>
        <s v="A224"/>
        <s v="A225"/>
        <s v="A226"/>
        <s v="A227"/>
        <s v="A228"/>
        <s v="A229"/>
        <s v="A230"/>
        <s v="A231"/>
        <s v="A232"/>
        <s v="A233"/>
        <s v="A234"/>
        <s v="A235"/>
        <s v="A236"/>
        <s v="A237"/>
        <s v="A238"/>
        <s v="A239"/>
        <s v="A240"/>
        <s v="A241"/>
        <s v="A242"/>
        <s v="A243"/>
        <s v="A244"/>
        <s v="A245"/>
        <s v="A246"/>
        <s v="A247"/>
        <s v="A248"/>
        <s v="A249"/>
        <s v="A250"/>
        <s v="A251"/>
        <s v="A252"/>
        <s v="A253"/>
        <s v="A254"/>
        <s v="A255"/>
        <s v="A256"/>
        <s v="A257"/>
        <s v="A258"/>
        <s v="A259"/>
        <s v="A260"/>
        <s v="A261"/>
        <s v="A262"/>
        <s v="A263"/>
        <s v="A264"/>
        <s v="A265"/>
        <s v="A266"/>
        <s v="A267"/>
        <s v="A268"/>
        <s v="A269"/>
        <s v="A270"/>
        <s v="A271"/>
        <s v="A272"/>
        <s v="A273"/>
        <s v="A274"/>
        <s v="A275"/>
        <s v="A276"/>
        <s v="A277"/>
        <s v="A278"/>
        <s v="A279"/>
        <s v="A280"/>
        <s v="A281"/>
        <s v="A282"/>
        <s v="A283"/>
        <s v="A284"/>
        <s v="A285"/>
        <s v="A286"/>
        <s v="A287"/>
        <s v="A288"/>
        <s v="A289"/>
        <s v="A290"/>
        <s v="A291"/>
        <s v="A292"/>
        <s v="A293"/>
        <s v="A294"/>
        <s v="A295"/>
        <s v="A296"/>
        <s v="A297"/>
        <s v="A298"/>
        <s v="A299"/>
        <s v="A300"/>
      </sharedItems>
    </cacheField>
    <cacheField name="Platform" numFmtId="49">
      <sharedItems count="4">
        <s v="YouTube"/>
        <s v="LinkedIn"/>
        <s v="Instagram"/>
        <s v="Twitter"/>
      </sharedItems>
    </cacheField>
    <cacheField name="Date" numFmtId="14">
      <sharedItems containsSemiMixedTypes="0" containsNonDate="0" containsDate="1" containsString="0" minDate="2024-06-01T00:00:00" maxDate="2025-10-16T00:00:00"/>
    </cacheField>
    <cacheField name="ContentType" numFmtId="49">
      <sharedItems count="4">
        <s v="Image"/>
        <s v="Tweet"/>
        <s v="Video"/>
        <s v="Carousel"/>
      </sharedItems>
    </cacheField>
    <cacheField name="Hashtags1" numFmtId="49">
      <sharedItems count="11">
        <s v="#AppleWatchUltra2"/>
        <s v="#MacBookAirM3"/>
        <s v="#AppleDesign"/>
        <s v="#AppleEvent"/>
        <s v="#ShotOniPhone"/>
        <s v="#AppleMusic"/>
        <s v="#AppleWatch"/>
        <s v="#iPhone16Launch"/>
        <s v="#iPhonePhotography"/>
        <s v="#MacBookProM3"/>
        <s v="#Sustainability"/>
      </sharedItems>
    </cacheField>
    <cacheField name="Hashtags 2" numFmtId="49">
      <sharedItems containsBlank="1" count="11">
        <s v="#HealthTech"/>
        <s v="#AppleInnovation"/>
        <s v="#Innovation"/>
        <s v="#iPadPro"/>
        <m/>
        <s v="#AppleLifestyle"/>
        <s v="#Health"/>
        <s v="#AppleEvent"/>
        <s v="#iPhone16"/>
        <s v="#ShotOniPhone"/>
        <s v="#AppleEarth"/>
      </sharedItems>
    </cacheField>
    <cacheField name="Likes" numFmtId="1">
      <sharedItems containsSemiMixedTypes="0" containsString="0" containsNumber="1" containsInteger="1" minValue="2009" maxValue="24984"/>
    </cacheField>
    <cacheField name="Shares" numFmtId="1">
      <sharedItems containsSemiMixedTypes="0" containsString="0" containsNumber="1" containsInteger="1" minValue="203" maxValue="1487"/>
    </cacheField>
    <cacheField name="Comments" numFmtId="1">
      <sharedItems containsSemiMixedTypes="0" containsString="0" containsNumber="1" containsInteger="1" minValue="152" maxValue="999"/>
    </cacheField>
    <cacheField name="Clicks" numFmtId="1">
      <sharedItems containsSemiMixedTypes="0" containsString="0" containsNumber="1" containsInteger="1" minValue="301" maxValue="2936"/>
    </cacheField>
    <cacheField name="Reach" numFmtId="1">
      <sharedItems containsSemiMixedTypes="0" containsString="0" containsNumber="1" containsInteger="1" minValue="7" maxValue="97772"/>
    </cacheField>
    <cacheField name="Impressions" numFmtId="1">
      <sharedItems containsSemiMixedTypes="0" containsString="0" containsNumber="1" containsInteger="1" minValue="40281" maxValue="249988"/>
    </cacheField>
    <cacheField name="Campaign" numFmtId="0">
      <sharedItems/>
    </cacheField>
    <cacheField name="Engagement_rate" numFmtId="10">
      <sharedItems containsSemiMixedTypes="0" containsString="0" containsNumber="1" minValue="1.6616512501514722E-2" maxValue="0.49054105563022848"/>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ukazh" refreshedDate="46130.949119212964" createdVersion="8" refreshedVersion="8" minRefreshableVersion="3" recordCount="301" xr:uid="{CB5F51CE-8354-4458-99B8-EDF4EDC84811}">
  <cacheSource type="worksheet">
    <worksheetSource ref="A5:B306" sheet="HASHTAGS ANALYSIS_2.4"/>
  </cacheSource>
  <cacheFields count="2">
    <cacheField name="HASHTAGS" numFmtId="49">
      <sharedItems count="12">
        <s v="#AppleMusic"/>
        <s v="#ShotOniPhone"/>
        <s v="#AppleWatchUltra2"/>
        <s v="#AppleEvent"/>
        <s v="#AppleWatch"/>
        <s v="#MacBookAirM3"/>
        <s v="#AppleDesign"/>
        <s v="#MacBookProM3"/>
        <s v="#iPhonePhotography"/>
        <s v="#iPhone16Launch"/>
        <s v="#Sustainability"/>
        <s v="#AppleLifestyle"/>
      </sharedItems>
    </cacheField>
    <cacheField name="CLICKS" numFmtId="1">
      <sharedItems containsSemiMixedTypes="0" containsString="0" containsNumber="1" containsInteger="1" minValue="301" maxValue="2936"/>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
  <r>
    <x v="0"/>
    <x v="0"/>
    <d v="2024-12-23T00:00:00"/>
    <x v="0"/>
    <x v="0"/>
    <x v="0"/>
    <n v="24516"/>
    <n v="976"/>
    <n v="974"/>
    <n v="2675"/>
    <n v="23275"/>
    <n v="202932"/>
    <s v="Apple Watch Ultra 2 Launch"/>
    <n v="0.13041807107799658"/>
  </r>
  <r>
    <x v="1"/>
    <x v="1"/>
    <d v="2025-09-03T00:00:00"/>
    <x v="0"/>
    <x v="1"/>
    <x v="1"/>
    <n v="4779"/>
    <n v="1110"/>
    <n v="436"/>
    <n v="1574"/>
    <n v="77167"/>
    <n v="71585"/>
    <s v="Apple Event September 2025"/>
    <n v="8.8356499266606131E-2"/>
  </r>
  <r>
    <x v="2"/>
    <x v="2"/>
    <d v="2025-05-12T00:00:00"/>
    <x v="1"/>
    <x v="2"/>
    <x v="2"/>
    <n v="19308"/>
    <n v="1318"/>
    <n v="795"/>
    <n v="1499"/>
    <n v="52307"/>
    <n v="193087"/>
    <s v="Sustainability Awareness Drive"/>
    <n v="0.11093962825047776"/>
  </r>
  <r>
    <x v="3"/>
    <x v="0"/>
    <d v="2024-08-12T00:00:00"/>
    <x v="2"/>
    <x v="3"/>
    <x v="3"/>
    <n v="3581"/>
    <n v="517"/>
    <n v="880"/>
    <n v="1925"/>
    <n v="18636"/>
    <n v="248611"/>
    <s v="iPhone 16 Launch"/>
    <n v="2.0023249172401864E-2"/>
  </r>
  <r>
    <x v="4"/>
    <x v="0"/>
    <d v="2025-09-04T00:00:00"/>
    <x v="2"/>
    <x v="0"/>
    <x v="0"/>
    <n v="21708"/>
    <n v="435"/>
    <n v="317"/>
    <n v="1213"/>
    <n v="70701"/>
    <n v="83585"/>
    <s v="Apple Event September 2025"/>
    <n v="0.26870850032900639"/>
  </r>
  <r>
    <x v="5"/>
    <x v="1"/>
    <d v="2025-09-05T00:00:00"/>
    <x v="0"/>
    <x v="4"/>
    <x v="4"/>
    <n v="14677"/>
    <n v="533"/>
    <n v="759"/>
    <n v="753"/>
    <n v="23275"/>
    <n v="66958"/>
    <s v="Apple Event September 2025"/>
    <n v="0.23849278652289496"/>
  </r>
  <r>
    <x v="6"/>
    <x v="2"/>
    <d v="2024-06-24T00:00:00"/>
    <x v="3"/>
    <x v="5"/>
    <x v="5"/>
    <n v="7713"/>
    <n v="575"/>
    <n v="417"/>
    <n v="336"/>
    <n v="61660"/>
    <n v="66017"/>
    <s v="iPhone 16 Launch"/>
    <n v="0.13185997546086614"/>
  </r>
  <r>
    <x v="7"/>
    <x v="2"/>
    <d v="2024-07-13T00:00:00"/>
    <x v="2"/>
    <x v="6"/>
    <x v="6"/>
    <n v="18639"/>
    <n v="1360"/>
    <n v="898"/>
    <n v="2011"/>
    <n v="42841"/>
    <n v="247779"/>
    <s v="iPhone 16 Launch"/>
    <n v="8.4337252148083575E-2"/>
  </r>
  <r>
    <x v="8"/>
    <x v="0"/>
    <d v="2024-08-30T00:00:00"/>
    <x v="3"/>
    <x v="1"/>
    <x v="1"/>
    <n v="6804"/>
    <n v="787"/>
    <n v="970"/>
    <n v="1095"/>
    <n v="56343"/>
    <n v="164677"/>
    <s v="Apple Watch Ultra 2 Launch"/>
    <n v="5.1986616224487935E-2"/>
  </r>
  <r>
    <x v="9"/>
    <x v="3"/>
    <d v="2025-03-11T00:00:00"/>
    <x v="2"/>
    <x v="7"/>
    <x v="7"/>
    <n v="20222"/>
    <n v="712"/>
    <n v="604"/>
    <n v="1272"/>
    <n v="71598"/>
    <n v="216422"/>
    <s v="Sustainability Awareness Drive"/>
    <n v="9.9518533235992648E-2"/>
  </r>
  <r>
    <x v="10"/>
    <x v="0"/>
    <d v="2025-02-02T00:00:00"/>
    <x v="3"/>
    <x v="3"/>
    <x v="3"/>
    <n v="12136"/>
    <n v="1117"/>
    <n v="834"/>
    <n v="892"/>
    <n v="24675"/>
    <n v="183273"/>
    <s v="Sustainability Awareness Drive"/>
    <n v="7.6863476889667326E-2"/>
  </r>
  <r>
    <x v="11"/>
    <x v="0"/>
    <d v="2024-07-21T00:00:00"/>
    <x v="1"/>
    <x v="1"/>
    <x v="1"/>
    <n v="2009"/>
    <n v="1072"/>
    <n v="550"/>
    <n v="1437"/>
    <n v="22982"/>
    <n v="69426"/>
    <s v="iPhone 16 Launch"/>
    <n v="5.2300290957278256E-2"/>
  </r>
  <r>
    <x v="12"/>
    <x v="0"/>
    <d v="2024-11-18T00:00:00"/>
    <x v="3"/>
    <x v="5"/>
    <x v="5"/>
    <n v="21255"/>
    <n v="1452"/>
    <n v="625"/>
    <n v="1624"/>
    <n v="21282"/>
    <n v="57778"/>
    <s v="MacBook Air M3 Campaign"/>
    <n v="0.40382152376337016"/>
  </r>
  <r>
    <x v="13"/>
    <x v="0"/>
    <d v="2025-09-06T00:00:00"/>
    <x v="1"/>
    <x v="6"/>
    <x v="6"/>
    <n v="7124"/>
    <n v="469"/>
    <n v="851"/>
    <n v="2571"/>
    <n v="33802"/>
    <n v="216313"/>
    <s v="Apple Event September 2025"/>
    <n v="3.9036026498638549E-2"/>
  </r>
  <r>
    <x v="14"/>
    <x v="1"/>
    <d v="2025-09-07T00:00:00"/>
    <x v="1"/>
    <x v="2"/>
    <x v="2"/>
    <n v="3015"/>
    <n v="997"/>
    <n v="783"/>
    <n v="617"/>
    <n v="77167"/>
    <n v="82229"/>
    <s v="Apple Event September 2025"/>
    <n v="5.8312760704860814E-2"/>
  </r>
  <r>
    <x v="15"/>
    <x v="2"/>
    <d v="2024-08-26T00:00:00"/>
    <x v="3"/>
    <x v="6"/>
    <x v="6"/>
    <n v="4193"/>
    <n v="924"/>
    <n v="707"/>
    <n v="2696"/>
    <n v="55075"/>
    <n v="126652"/>
    <s v="iPhone 16 Launch"/>
    <n v="4.5984271863057827E-2"/>
  </r>
  <r>
    <x v="16"/>
    <x v="1"/>
    <d v="2025-05-05T00:00:00"/>
    <x v="1"/>
    <x v="3"/>
    <x v="8"/>
    <n v="10415"/>
    <n v="1388"/>
    <n v="725"/>
    <n v="2462"/>
    <n v="53082"/>
    <n v="168267"/>
    <s v="MacBook Air M3 Campaign"/>
    <n v="7.4453101321114656E-2"/>
  </r>
  <r>
    <x v="17"/>
    <x v="1"/>
    <d v="2024-08-19T00:00:00"/>
    <x v="0"/>
    <x v="6"/>
    <x v="6"/>
    <n v="15550"/>
    <n v="204"/>
    <n v="279"/>
    <n v="1646"/>
    <n v="35819"/>
    <n v="219436"/>
    <s v="Apple Watch Ultra 2 Launch"/>
    <n v="7.306458375107093E-2"/>
  </r>
  <r>
    <x v="18"/>
    <x v="1"/>
    <d v="2024-06-23T00:00:00"/>
    <x v="1"/>
    <x v="3"/>
    <x v="8"/>
    <n v="16512"/>
    <n v="1050"/>
    <n v="971"/>
    <n v="1891"/>
    <n v="15865"/>
    <n v="166503"/>
    <s v="iPhone 16 Launch"/>
    <n v="0.1113073037723044"/>
  </r>
  <r>
    <x v="19"/>
    <x v="0"/>
    <d v="2024-09-09T00:00:00"/>
    <x v="2"/>
    <x v="2"/>
    <x v="2"/>
    <n v="6158"/>
    <n v="277"/>
    <n v="512"/>
    <n v="2189"/>
    <n v="76881"/>
    <n v="124878"/>
    <s v="iPhone 16 Launch"/>
    <n v="5.563029516808405E-2"/>
  </r>
  <r>
    <x v="20"/>
    <x v="3"/>
    <d v="2025-09-08T00:00:00"/>
    <x v="3"/>
    <x v="8"/>
    <x v="9"/>
    <n v="22309"/>
    <n v="773"/>
    <n v="854"/>
    <n v="2387"/>
    <n v="72396"/>
    <n v="97056"/>
    <s v="Apple Event September 2025"/>
    <n v="0.24662050774810418"/>
  </r>
  <r>
    <x v="21"/>
    <x v="2"/>
    <d v="2025-02-27T00:00:00"/>
    <x v="0"/>
    <x v="5"/>
    <x v="5"/>
    <n v="8970"/>
    <n v="331"/>
    <n v="968"/>
    <n v="2296"/>
    <n v="24613"/>
    <n v="198562"/>
    <s v="iPhone 16 Launch"/>
    <n v="5.1716844109144754E-2"/>
  </r>
  <r>
    <x v="22"/>
    <x v="3"/>
    <d v="2024-11-06T00:00:00"/>
    <x v="3"/>
    <x v="3"/>
    <x v="8"/>
    <n v="8938"/>
    <n v="800"/>
    <n v="842"/>
    <n v="2072"/>
    <n v="31736"/>
    <n v="59975"/>
    <s v="iPhone 16 Launch"/>
    <n v="0.17640683618174238"/>
  </r>
  <r>
    <x v="23"/>
    <x v="1"/>
    <d v="2025-01-23T00:00:00"/>
    <x v="2"/>
    <x v="7"/>
    <x v="7"/>
    <n v="23168"/>
    <n v="1265"/>
    <n v="441"/>
    <n v="1612"/>
    <n v="66615"/>
    <n v="197795"/>
    <s v="iPhone 16 Launch"/>
    <n v="0.12575646502692181"/>
  </r>
  <r>
    <x v="24"/>
    <x v="1"/>
    <d v="2025-09-09T00:00:00"/>
    <x v="2"/>
    <x v="6"/>
    <x v="6"/>
    <n v="15772"/>
    <n v="288"/>
    <n v="520"/>
    <n v="1585"/>
    <n v="59182"/>
    <n v="194351"/>
    <s v="Apple Event September 2025"/>
    <n v="8.5309568769905988E-2"/>
  </r>
  <r>
    <x v="25"/>
    <x v="3"/>
    <d v="2025-04-05T00:00:00"/>
    <x v="2"/>
    <x v="6"/>
    <x v="6"/>
    <n v="22384"/>
    <n v="601"/>
    <n v="943"/>
    <n v="515"/>
    <n v="41309"/>
    <n v="249373"/>
    <s v="Apple Watch Ultra 2 Launch"/>
    <n v="9.5952649244304716E-2"/>
  </r>
  <r>
    <x v="26"/>
    <x v="3"/>
    <d v="2024-09-17T00:00:00"/>
    <x v="1"/>
    <x v="7"/>
    <x v="7"/>
    <n v="20017"/>
    <n v="495"/>
    <n v="178"/>
    <n v="2683"/>
    <n v="32244"/>
    <n v="182633"/>
    <s v="Apple Watch Ultra 2 Launch"/>
    <n v="0.11328730295182141"/>
  </r>
  <r>
    <x v="27"/>
    <x v="3"/>
    <d v="2025-03-04T00:00:00"/>
    <x v="1"/>
    <x v="4"/>
    <x v="4"/>
    <n v="12344"/>
    <n v="815"/>
    <n v="298"/>
    <n v="2439"/>
    <n v="6259"/>
    <n v="237133"/>
    <s v="iPhone 16 Launch"/>
    <n v="5.6748744375519224E-2"/>
  </r>
  <r>
    <x v="28"/>
    <x v="1"/>
    <d v="2025-09-10T00:00:00"/>
    <x v="3"/>
    <x v="9"/>
    <x v="4"/>
    <n v="9266"/>
    <n v="999"/>
    <n v="928"/>
    <n v="2700"/>
    <n v="12264"/>
    <n v="128397"/>
    <s v="Apple Event September 2025"/>
    <n v="8.7174933993784898E-2"/>
  </r>
  <r>
    <x v="29"/>
    <x v="1"/>
    <d v="2025-02-25T00:00:00"/>
    <x v="3"/>
    <x v="8"/>
    <x v="9"/>
    <n v="10702"/>
    <n v="621"/>
    <n v="445"/>
    <n v="2918"/>
    <n v="54808"/>
    <n v="220225"/>
    <s v="Apple Watch Ultra 2 Launch"/>
    <n v="5.3436258372119426E-2"/>
  </r>
  <r>
    <x v="30"/>
    <x v="2"/>
    <d v="2024-12-16T00:00:00"/>
    <x v="0"/>
    <x v="3"/>
    <x v="3"/>
    <n v="2384"/>
    <n v="1246"/>
    <n v="160"/>
    <n v="2004"/>
    <n v="2701"/>
    <n v="73142"/>
    <s v="Apple Watch Ultra 2 Launch"/>
    <n v="5.1817013480626728E-2"/>
  </r>
  <r>
    <x v="31"/>
    <x v="2"/>
    <d v="2024-07-31T00:00:00"/>
    <x v="0"/>
    <x v="3"/>
    <x v="8"/>
    <n v="2404"/>
    <n v="774"/>
    <n v="661"/>
    <n v="662"/>
    <n v="12676"/>
    <n v="66916"/>
    <s v="Apple Watch Ultra 2 Launch"/>
    <n v="5.7370434574690654E-2"/>
  </r>
  <r>
    <x v="32"/>
    <x v="1"/>
    <d v="2025-09-11T00:00:00"/>
    <x v="3"/>
    <x v="7"/>
    <x v="7"/>
    <n v="10175"/>
    <n v="342"/>
    <n v="825"/>
    <n v="2904"/>
    <n v="15954"/>
    <n v="104324"/>
    <s v="Apple Event September 2025"/>
    <n v="0.10871899083624094"/>
  </r>
  <r>
    <x v="33"/>
    <x v="3"/>
    <d v="2025-09-12T00:00:00"/>
    <x v="1"/>
    <x v="2"/>
    <x v="2"/>
    <n v="17158"/>
    <n v="1192"/>
    <n v="262"/>
    <n v="2016"/>
    <n v="28771"/>
    <n v="216037"/>
    <s v="Apple Event September 2025"/>
    <n v="8.6151909163708074E-2"/>
  </r>
  <r>
    <x v="34"/>
    <x v="3"/>
    <d v="2024-11-30T00:00:00"/>
    <x v="2"/>
    <x v="3"/>
    <x v="8"/>
    <n v="14763"/>
    <n v="864"/>
    <n v="336"/>
    <n v="1493"/>
    <n v="33310"/>
    <n v="165932"/>
    <s v="iPhone 16 Launch"/>
    <n v="9.6202058674637797E-2"/>
  </r>
  <r>
    <x v="35"/>
    <x v="2"/>
    <d v="2025-04-19T00:00:00"/>
    <x v="3"/>
    <x v="9"/>
    <x v="4"/>
    <n v="20384"/>
    <n v="344"/>
    <n v="956"/>
    <n v="655"/>
    <n v="67621"/>
    <n v="175720"/>
    <s v="Sustainability Awareness Drive"/>
    <n v="0.12340086501251991"/>
  </r>
  <r>
    <x v="36"/>
    <x v="1"/>
    <d v="2025-01-06T00:00:00"/>
    <x v="0"/>
    <x v="2"/>
    <x v="2"/>
    <n v="11860"/>
    <n v="1448"/>
    <n v="893"/>
    <n v="490"/>
    <n v="23518"/>
    <n v="206205"/>
    <s v="Apple Watch Ultra 2 Launch"/>
    <n v="6.8868359157149436E-2"/>
  </r>
  <r>
    <x v="37"/>
    <x v="2"/>
    <d v="2025-02-17T00:00:00"/>
    <x v="1"/>
    <x v="1"/>
    <x v="1"/>
    <n v="7989"/>
    <n v="1206"/>
    <n v="376"/>
    <n v="2769"/>
    <n v="27550"/>
    <n v="221749"/>
    <s v="Sustainability Awareness Drive"/>
    <n v="4.3161412227338117E-2"/>
  </r>
  <r>
    <x v="38"/>
    <x v="2"/>
    <d v="2025-09-13T00:00:00"/>
    <x v="3"/>
    <x v="5"/>
    <x v="5"/>
    <n v="17106"/>
    <n v="702"/>
    <n v="459"/>
    <n v="999"/>
    <n v="59627"/>
    <n v="136059"/>
    <s v="Apple Event September 2025"/>
    <n v="0.13425793222058077"/>
  </r>
  <r>
    <x v="39"/>
    <x v="0"/>
    <d v="2025-09-14T00:00:00"/>
    <x v="3"/>
    <x v="6"/>
    <x v="6"/>
    <n v="19844"/>
    <n v="1020"/>
    <n v="247"/>
    <n v="2354"/>
    <n v="37792"/>
    <n v="138317"/>
    <s v="Apple Event September 2025"/>
    <n v="0.15262765965138053"/>
  </r>
  <r>
    <x v="40"/>
    <x v="0"/>
    <d v="2025-09-15T00:00:00"/>
    <x v="1"/>
    <x v="1"/>
    <x v="1"/>
    <n v="5636"/>
    <n v="303"/>
    <n v="204"/>
    <n v="2480"/>
    <n v="7377"/>
    <n v="241207"/>
    <s v="Apple Event September 2025"/>
    <n v="2.5467751765081443E-2"/>
  </r>
  <r>
    <x v="41"/>
    <x v="0"/>
    <d v="2025-03-05T00:00:00"/>
    <x v="3"/>
    <x v="3"/>
    <x v="8"/>
    <n v="12916"/>
    <n v="1262"/>
    <n v="772"/>
    <n v="856"/>
    <n v="11496"/>
    <n v="75046"/>
    <s v="Sustainability Awareness Drive"/>
    <n v="0.19921115049436347"/>
  </r>
  <r>
    <x v="42"/>
    <x v="3"/>
    <d v="2025-09-16T00:00:00"/>
    <x v="1"/>
    <x v="9"/>
    <x v="4"/>
    <n v="6809"/>
    <n v="397"/>
    <n v="813"/>
    <n v="1125"/>
    <n v="12206"/>
    <n v="218136"/>
    <s v="Apple Event September 2025"/>
    <n v="3.6761469908680823E-2"/>
  </r>
  <r>
    <x v="43"/>
    <x v="1"/>
    <d v="2025-03-02T00:00:00"/>
    <x v="2"/>
    <x v="8"/>
    <x v="9"/>
    <n v="22562"/>
    <n v="778"/>
    <n v="907"/>
    <n v="1354"/>
    <n v="34475"/>
    <n v="141459"/>
    <s v="iPhone 16 Launch"/>
    <n v="0.17140655596321194"/>
  </r>
  <r>
    <x v="44"/>
    <x v="1"/>
    <d v="2025-09-17T00:00:00"/>
    <x v="1"/>
    <x v="5"/>
    <x v="5"/>
    <n v="15456"/>
    <n v="590"/>
    <n v="555"/>
    <n v="2882"/>
    <n v="49816"/>
    <n v="240422"/>
    <s v="Apple Event September 2025"/>
    <n v="6.9049421433978589E-2"/>
  </r>
  <r>
    <x v="45"/>
    <x v="1"/>
    <d v="2025-05-02T00:00:00"/>
    <x v="1"/>
    <x v="3"/>
    <x v="8"/>
    <n v="17444"/>
    <n v="1402"/>
    <n v="218"/>
    <n v="725"/>
    <n v="8710"/>
    <n v="85893"/>
    <s v="MacBook Air M3 Campaign"/>
    <n v="0.22195056640238436"/>
  </r>
  <r>
    <x v="46"/>
    <x v="1"/>
    <d v="2025-02-24T00:00:00"/>
    <x v="1"/>
    <x v="7"/>
    <x v="7"/>
    <n v="24984"/>
    <n v="753"/>
    <n v="461"/>
    <n v="2710"/>
    <n v="20792"/>
    <n v="141520"/>
    <s v="Sustainability Awareness Drive"/>
    <n v="0.18511871113623515"/>
  </r>
  <r>
    <x v="47"/>
    <x v="0"/>
    <d v="2025-03-11T00:00:00"/>
    <x v="3"/>
    <x v="0"/>
    <x v="0"/>
    <n v="7997"/>
    <n v="1238"/>
    <n v="438"/>
    <n v="1874"/>
    <n v="36272"/>
    <n v="165818"/>
    <s v="MacBook Air M3 Campaign"/>
    <n v="5.8335042034037318E-2"/>
  </r>
  <r>
    <x v="48"/>
    <x v="3"/>
    <d v="2025-09-18T00:00:00"/>
    <x v="3"/>
    <x v="3"/>
    <x v="8"/>
    <n v="4048"/>
    <n v="677"/>
    <n v="911"/>
    <n v="2429"/>
    <n v="27361"/>
    <n v="101272"/>
    <s v="Apple Event September 2025"/>
    <n v="5.5652105221581483E-2"/>
  </r>
  <r>
    <x v="49"/>
    <x v="3"/>
    <d v="2024-07-03T00:00:00"/>
    <x v="1"/>
    <x v="5"/>
    <x v="5"/>
    <n v="14338"/>
    <n v="1454"/>
    <n v="697"/>
    <n v="2703"/>
    <n v="21288"/>
    <n v="107649"/>
    <s v="iPhone 16 Launch"/>
    <n v="0.1531737405828201"/>
  </r>
  <r>
    <x v="50"/>
    <x v="0"/>
    <d v="2024-06-13T00:00:00"/>
    <x v="3"/>
    <x v="6"/>
    <x v="6"/>
    <n v="23164"/>
    <n v="1122"/>
    <n v="900"/>
    <n v="888"/>
    <n v="36938"/>
    <n v="104674"/>
    <s v="Apple Watch Ultra 2 Launch"/>
    <n v="0.24061371496264594"/>
  </r>
  <r>
    <x v="51"/>
    <x v="3"/>
    <d v="2025-09-19T00:00:00"/>
    <x v="0"/>
    <x v="6"/>
    <x v="6"/>
    <n v="19100"/>
    <n v="619"/>
    <n v="297"/>
    <n v="2312"/>
    <n v="9730"/>
    <n v="184832"/>
    <s v="Apple Event September 2025"/>
    <n v="0.10829293628808864"/>
  </r>
  <r>
    <x v="52"/>
    <x v="0"/>
    <d v="2025-02-24T00:00:00"/>
    <x v="0"/>
    <x v="3"/>
    <x v="8"/>
    <n v="23949"/>
    <n v="356"/>
    <n v="616"/>
    <n v="1847"/>
    <n v="3144"/>
    <n v="192999"/>
    <s v="iPhone 16 Launch"/>
    <n v="0.12912502137316773"/>
  </r>
  <r>
    <x v="53"/>
    <x v="1"/>
    <d v="2025-03-13T00:00:00"/>
    <x v="3"/>
    <x v="2"/>
    <x v="2"/>
    <n v="6544"/>
    <n v="749"/>
    <n v="888"/>
    <n v="594"/>
    <n v="18171"/>
    <n v="126475"/>
    <s v="Sustainability Awareness Drive"/>
    <n v="6.4684720300454635E-2"/>
  </r>
  <r>
    <x v="54"/>
    <x v="0"/>
    <d v="2024-06-17T00:00:00"/>
    <x v="3"/>
    <x v="0"/>
    <x v="0"/>
    <n v="6976"/>
    <n v="1320"/>
    <n v="393"/>
    <n v="2285"/>
    <n v="14049"/>
    <n v="101367"/>
    <s v="MacBook Air M3 Campaign"/>
    <n v="8.5718231771681114E-2"/>
  </r>
  <r>
    <x v="55"/>
    <x v="1"/>
    <d v="2024-12-18T00:00:00"/>
    <x v="1"/>
    <x v="7"/>
    <x v="7"/>
    <n v="14775"/>
    <n v="1220"/>
    <n v="640"/>
    <n v="1547"/>
    <n v="28527"/>
    <n v="183660"/>
    <s v="MacBook Air M3 Campaign"/>
    <n v="9.0574975498203203E-2"/>
  </r>
  <r>
    <x v="56"/>
    <x v="1"/>
    <d v="2024-10-21T00:00:00"/>
    <x v="2"/>
    <x v="3"/>
    <x v="8"/>
    <n v="12015"/>
    <n v="1196"/>
    <n v="998"/>
    <n v="1848"/>
    <n v="44739"/>
    <n v="161750"/>
    <s v="MacBook Air M3 Campaign"/>
    <n v="8.7845440494590421E-2"/>
  </r>
  <r>
    <x v="57"/>
    <x v="2"/>
    <d v="2025-04-15T00:00:00"/>
    <x v="3"/>
    <x v="2"/>
    <x v="2"/>
    <n v="5419"/>
    <n v="1150"/>
    <n v="656"/>
    <n v="1990"/>
    <n v="410"/>
    <n v="158154"/>
    <s v="Sustainability Awareness Drive"/>
    <n v="4.5683321319726342E-2"/>
  </r>
  <r>
    <x v="58"/>
    <x v="0"/>
    <d v="2024-06-22T00:00:00"/>
    <x v="0"/>
    <x v="6"/>
    <x v="6"/>
    <n v="16430"/>
    <n v="488"/>
    <n v="514"/>
    <n v="1436"/>
    <n v="30059"/>
    <n v="223305"/>
    <s v="iPhone 16 Launch"/>
    <n v="7.8063634938760881E-2"/>
  </r>
  <r>
    <x v="59"/>
    <x v="2"/>
    <d v="2025-01-28T00:00:00"/>
    <x v="1"/>
    <x v="6"/>
    <x v="6"/>
    <n v="9239"/>
    <n v="1477"/>
    <n v="631"/>
    <n v="1556"/>
    <n v="11580"/>
    <n v="84738"/>
    <s v="Sustainability Awareness Drive"/>
    <n v="0.13390686586891359"/>
  </r>
  <r>
    <x v="60"/>
    <x v="0"/>
    <d v="2024-09-05T00:00:00"/>
    <x v="3"/>
    <x v="9"/>
    <x v="4"/>
    <n v="16489"/>
    <n v="395"/>
    <n v="350"/>
    <n v="2364"/>
    <n v="43239"/>
    <n v="73397"/>
    <s v="MacBook Air M3 Campaign"/>
    <n v="0.23480523727127811"/>
  </r>
  <r>
    <x v="61"/>
    <x v="0"/>
    <d v="2025-09-20T00:00:00"/>
    <x v="0"/>
    <x v="3"/>
    <x v="8"/>
    <n v="18633"/>
    <n v="797"/>
    <n v="303"/>
    <n v="659"/>
    <n v="7"/>
    <n v="122189"/>
    <s v="Apple Event September 2025"/>
    <n v="0.16149571565361859"/>
  </r>
  <r>
    <x v="62"/>
    <x v="2"/>
    <d v="2024-07-31T00:00:00"/>
    <x v="0"/>
    <x v="0"/>
    <x v="0"/>
    <n v="12357"/>
    <n v="716"/>
    <n v="599"/>
    <n v="999"/>
    <n v="89591"/>
    <n v="116367"/>
    <s v="Apple Watch Ultra 2 Launch"/>
    <n v="0.11749035379446063"/>
  </r>
  <r>
    <x v="63"/>
    <x v="2"/>
    <d v="2024-08-17T00:00:00"/>
    <x v="2"/>
    <x v="4"/>
    <x v="4"/>
    <n v="19154"/>
    <n v="1064"/>
    <n v="650"/>
    <n v="747"/>
    <n v="42667"/>
    <n v="242332"/>
    <s v="Sustainability Awareness Drive"/>
    <n v="8.6113266097750191E-2"/>
  </r>
  <r>
    <x v="64"/>
    <x v="0"/>
    <d v="2025-03-28T00:00:00"/>
    <x v="1"/>
    <x v="0"/>
    <x v="0"/>
    <n v="6363"/>
    <n v="1341"/>
    <n v="222"/>
    <n v="2712"/>
    <n v="19987"/>
    <n v="160585"/>
    <s v="Sustainability Awareness Drive"/>
    <n v="4.9357038328611019E-2"/>
  </r>
  <r>
    <x v="65"/>
    <x v="3"/>
    <d v="2024-07-26T00:00:00"/>
    <x v="1"/>
    <x v="6"/>
    <x v="6"/>
    <n v="12176"/>
    <n v="1005"/>
    <n v="862"/>
    <n v="974"/>
    <n v="2285"/>
    <n v="116619"/>
    <s v="iPhone 16 Launch"/>
    <n v="0.12041777068916729"/>
  </r>
  <r>
    <x v="66"/>
    <x v="1"/>
    <d v="2025-03-29T00:00:00"/>
    <x v="2"/>
    <x v="6"/>
    <x v="6"/>
    <n v="19461"/>
    <n v="1382"/>
    <n v="445"/>
    <n v="1307"/>
    <n v="84691"/>
    <n v="151453"/>
    <s v="iPhone 16 Launch"/>
    <n v="0.14055845707909384"/>
  </r>
  <r>
    <x v="67"/>
    <x v="2"/>
    <d v="2024-12-08T00:00:00"/>
    <x v="2"/>
    <x v="1"/>
    <x v="1"/>
    <n v="10427"/>
    <n v="1014"/>
    <n v="166"/>
    <n v="1649"/>
    <n v="15145"/>
    <n v="59816"/>
    <s v="Sustainability Awareness Drive"/>
    <n v="0.19404507155276179"/>
  </r>
  <r>
    <x v="68"/>
    <x v="1"/>
    <d v="2025-03-08T00:00:00"/>
    <x v="1"/>
    <x v="6"/>
    <x v="6"/>
    <n v="10580"/>
    <n v="427"/>
    <n v="790"/>
    <n v="2814"/>
    <n v="24916"/>
    <n v="213312"/>
    <s v="MacBook Air M3 Campaign"/>
    <n v="5.530396789678968E-2"/>
  </r>
  <r>
    <x v="69"/>
    <x v="3"/>
    <d v="2025-04-02T00:00:00"/>
    <x v="1"/>
    <x v="7"/>
    <x v="7"/>
    <n v="6858"/>
    <n v="415"/>
    <n v="366"/>
    <n v="2761"/>
    <n v="2988"/>
    <n v="177348"/>
    <s v="Apple Watch Ultra 2 Launch"/>
    <n v="4.3073505198818141E-2"/>
  </r>
  <r>
    <x v="70"/>
    <x v="3"/>
    <d v="2024-09-02T00:00:00"/>
    <x v="3"/>
    <x v="3"/>
    <x v="3"/>
    <n v="12040"/>
    <n v="1147"/>
    <n v="210"/>
    <n v="885"/>
    <n v="30360"/>
    <n v="119530"/>
    <s v="iPhone 16 Launch"/>
    <n v="0.1120806492094035"/>
  </r>
  <r>
    <x v="71"/>
    <x v="3"/>
    <d v="2025-03-03T00:00:00"/>
    <x v="3"/>
    <x v="3"/>
    <x v="8"/>
    <n v="24928"/>
    <n v="214"/>
    <n v="765"/>
    <n v="1556"/>
    <n v="5239"/>
    <n v="194571"/>
    <s v="MacBook Air M3 Campaign"/>
    <n v="0.13314933880177415"/>
  </r>
  <r>
    <x v="72"/>
    <x v="2"/>
    <d v="2025-09-21T00:00:00"/>
    <x v="2"/>
    <x v="0"/>
    <x v="0"/>
    <n v="23103"/>
    <n v="1380"/>
    <n v="191"/>
    <n v="1547"/>
    <n v="77798"/>
    <n v="148856"/>
    <s v="Apple Event September 2025"/>
    <n v="0.16575751061428495"/>
  </r>
  <r>
    <x v="73"/>
    <x v="3"/>
    <d v="2024-10-28T00:00:00"/>
    <x v="3"/>
    <x v="3"/>
    <x v="3"/>
    <n v="21198"/>
    <n v="1484"/>
    <n v="174"/>
    <n v="1293"/>
    <n v="16330"/>
    <n v="111635"/>
    <s v="iPhone 16 Launch"/>
    <n v="0.20473865723115511"/>
  </r>
  <r>
    <x v="74"/>
    <x v="2"/>
    <d v="2024-08-01T00:00:00"/>
    <x v="0"/>
    <x v="2"/>
    <x v="2"/>
    <n v="21758"/>
    <n v="1380"/>
    <n v="188"/>
    <n v="1735"/>
    <n v="20998"/>
    <n v="147803"/>
    <s v="MacBook Air M3 Campaign"/>
    <n v="0.15781817689762725"/>
  </r>
  <r>
    <x v="75"/>
    <x v="3"/>
    <d v="2024-11-07T00:00:00"/>
    <x v="3"/>
    <x v="4"/>
    <x v="4"/>
    <n v="17254"/>
    <n v="246"/>
    <n v="952"/>
    <n v="871"/>
    <n v="14957"/>
    <n v="75946"/>
    <s v="MacBook Air M3 Campaign"/>
    <n v="0.24296210465330631"/>
  </r>
  <r>
    <x v="76"/>
    <x v="1"/>
    <d v="2025-03-04T00:00:00"/>
    <x v="3"/>
    <x v="7"/>
    <x v="7"/>
    <n v="13470"/>
    <n v="523"/>
    <n v="280"/>
    <n v="2682"/>
    <n v="8538"/>
    <n v="95204"/>
    <s v="Apple Watch Ultra 2 Launch"/>
    <n v="0.14992017142136885"/>
  </r>
  <r>
    <x v="77"/>
    <x v="1"/>
    <d v="2024-06-17T00:00:00"/>
    <x v="0"/>
    <x v="5"/>
    <x v="5"/>
    <n v="3252"/>
    <n v="1043"/>
    <n v="647"/>
    <n v="1545"/>
    <n v="18859"/>
    <n v="222958"/>
    <s v="Apple Watch Ultra 2 Launch"/>
    <n v="2.2165609666394567E-2"/>
  </r>
  <r>
    <x v="78"/>
    <x v="0"/>
    <d v="2025-09-22T00:00:00"/>
    <x v="2"/>
    <x v="10"/>
    <x v="10"/>
    <n v="8996"/>
    <n v="329"/>
    <n v="378"/>
    <n v="2384"/>
    <n v="39404"/>
    <n v="242724"/>
    <s v="Apple Event September 2025"/>
    <n v="3.9975445361810122E-2"/>
  </r>
  <r>
    <x v="79"/>
    <x v="1"/>
    <d v="2024-06-13T00:00:00"/>
    <x v="0"/>
    <x v="0"/>
    <x v="0"/>
    <n v="14173"/>
    <n v="294"/>
    <n v="257"/>
    <n v="1288"/>
    <n v="39466"/>
    <n v="55563"/>
    <s v="MacBook Air M3 Campaign"/>
    <n v="0.26499649047027696"/>
  </r>
  <r>
    <x v="80"/>
    <x v="0"/>
    <d v="2024-10-19T00:00:00"/>
    <x v="3"/>
    <x v="3"/>
    <x v="3"/>
    <n v="6673"/>
    <n v="826"/>
    <n v="321"/>
    <n v="577"/>
    <n v="19262"/>
    <n v="132324"/>
    <s v="MacBook Air M3 Campaign"/>
    <n v="5.9097367068710133E-2"/>
  </r>
  <r>
    <x v="81"/>
    <x v="1"/>
    <d v="2024-07-24T00:00:00"/>
    <x v="2"/>
    <x v="5"/>
    <x v="5"/>
    <n v="22914"/>
    <n v="954"/>
    <n v="584"/>
    <n v="1519"/>
    <n v="13637"/>
    <n v="49847"/>
    <s v="Apple Watch Ultra 2 Launch"/>
    <n v="0.49054105563022848"/>
  </r>
  <r>
    <x v="82"/>
    <x v="2"/>
    <d v="2024-10-15T00:00:00"/>
    <x v="3"/>
    <x v="4"/>
    <x v="4"/>
    <n v="17781"/>
    <n v="993"/>
    <n v="627"/>
    <n v="2187"/>
    <n v="9609"/>
    <n v="66155"/>
    <s v="iPhone 16 Launch"/>
    <n v="0.29326581513113142"/>
  </r>
  <r>
    <x v="83"/>
    <x v="1"/>
    <d v="2024-12-09T00:00:00"/>
    <x v="0"/>
    <x v="1"/>
    <x v="1"/>
    <n v="15051"/>
    <n v="268"/>
    <n v="251"/>
    <n v="783"/>
    <n v="34154"/>
    <n v="119671"/>
    <s v="iPhone 16 Launch"/>
    <n v="0.13010670922779954"/>
  </r>
  <r>
    <x v="84"/>
    <x v="0"/>
    <d v="2025-04-19T00:00:00"/>
    <x v="0"/>
    <x v="5"/>
    <x v="5"/>
    <n v="8881"/>
    <n v="210"/>
    <n v="673"/>
    <n v="1565"/>
    <n v="24847"/>
    <n v="156891"/>
    <s v="Sustainability Awareness Drive"/>
    <n v="6.223429004850501E-2"/>
  </r>
  <r>
    <x v="85"/>
    <x v="0"/>
    <d v="2025-01-27T00:00:00"/>
    <x v="3"/>
    <x v="7"/>
    <x v="7"/>
    <n v="8949"/>
    <n v="1477"/>
    <n v="424"/>
    <n v="1030"/>
    <n v="58052"/>
    <n v="123310"/>
    <s v="Apple Watch Ultra 2 Launch"/>
    <n v="8.7989619657773091E-2"/>
  </r>
  <r>
    <x v="86"/>
    <x v="3"/>
    <d v="2024-06-06T00:00:00"/>
    <x v="1"/>
    <x v="7"/>
    <x v="7"/>
    <n v="11521"/>
    <n v="1071"/>
    <n v="762"/>
    <n v="2539"/>
    <n v="12701"/>
    <n v="238350"/>
    <s v="Sustainability Awareness Drive"/>
    <n v="5.6026851269142017E-2"/>
  </r>
  <r>
    <x v="87"/>
    <x v="2"/>
    <d v="2024-07-07T00:00:00"/>
    <x v="1"/>
    <x v="1"/>
    <x v="1"/>
    <n v="24625"/>
    <n v="749"/>
    <n v="193"/>
    <n v="1340"/>
    <n v="4890"/>
    <n v="189381"/>
    <s v="Apple Watch Ultra 2 Launch"/>
    <n v="0.13500298340382616"/>
  </r>
  <r>
    <x v="88"/>
    <x v="1"/>
    <d v="2025-09-23T00:00:00"/>
    <x v="0"/>
    <x v="10"/>
    <x v="10"/>
    <n v="10017"/>
    <n v="1357"/>
    <n v="966"/>
    <n v="2871"/>
    <n v="14800"/>
    <n v="171691"/>
    <s v="Apple Event September 2025"/>
    <n v="7.1873307278774071E-2"/>
  </r>
  <r>
    <x v="89"/>
    <x v="3"/>
    <d v="2024-06-03T00:00:00"/>
    <x v="0"/>
    <x v="3"/>
    <x v="8"/>
    <n v="8941"/>
    <n v="911"/>
    <n v="166"/>
    <n v="1217"/>
    <n v="68817"/>
    <n v="221180"/>
    <s v="MacBook Air M3 Campaign"/>
    <n v="4.5293426168731353E-2"/>
  </r>
  <r>
    <x v="90"/>
    <x v="1"/>
    <d v="2025-09-24T00:00:00"/>
    <x v="1"/>
    <x v="5"/>
    <x v="5"/>
    <n v="12209"/>
    <n v="222"/>
    <n v="479"/>
    <n v="2748"/>
    <n v="24615"/>
    <n v="74707"/>
    <s v="Apple Event September 2025"/>
    <n v="0.17280843829895459"/>
  </r>
  <r>
    <x v="91"/>
    <x v="1"/>
    <d v="2024-10-21T00:00:00"/>
    <x v="1"/>
    <x v="1"/>
    <x v="1"/>
    <n v="19715"/>
    <n v="1014"/>
    <n v="718"/>
    <n v="1185"/>
    <n v="37625"/>
    <n v="191409"/>
    <s v="Apple Watch Ultra 2 Launch"/>
    <n v="0.11204802282024356"/>
  </r>
  <r>
    <x v="92"/>
    <x v="3"/>
    <d v="2024-12-11T00:00:00"/>
    <x v="3"/>
    <x v="7"/>
    <x v="7"/>
    <n v="22645"/>
    <n v="545"/>
    <n v="972"/>
    <n v="321"/>
    <n v="8396"/>
    <n v="121537"/>
    <s v="MacBook Air M3 Campaign"/>
    <n v="0.19880365649966678"/>
  </r>
  <r>
    <x v="93"/>
    <x v="3"/>
    <d v="2024-11-07T00:00:00"/>
    <x v="3"/>
    <x v="7"/>
    <x v="7"/>
    <n v="11550"/>
    <n v="501"/>
    <n v="646"/>
    <n v="773"/>
    <n v="17841"/>
    <n v="237576"/>
    <s v="iPhone 16 Launch"/>
    <n v="5.3443950567397383E-2"/>
  </r>
  <r>
    <x v="94"/>
    <x v="3"/>
    <d v="2024-11-08T00:00:00"/>
    <x v="1"/>
    <x v="3"/>
    <x v="3"/>
    <n v="23499"/>
    <n v="562"/>
    <n v="964"/>
    <n v="2557"/>
    <n v="56890"/>
    <n v="218686"/>
    <s v="iPhone 16 Launch"/>
    <n v="0.11443347996671026"/>
  </r>
  <r>
    <x v="95"/>
    <x v="3"/>
    <d v="2024-09-10T00:00:00"/>
    <x v="3"/>
    <x v="6"/>
    <x v="6"/>
    <n v="6637"/>
    <n v="595"/>
    <n v="161"/>
    <n v="2653"/>
    <n v="19334"/>
    <n v="131155"/>
    <s v="Sustainability Awareness Drive"/>
    <n v="5.6368419046166747E-2"/>
  </r>
  <r>
    <x v="96"/>
    <x v="3"/>
    <d v="2024-08-13T00:00:00"/>
    <x v="3"/>
    <x v="10"/>
    <x v="10"/>
    <n v="6854"/>
    <n v="417"/>
    <n v="467"/>
    <n v="1003"/>
    <n v="61333"/>
    <n v="40281"/>
    <s v="Apple Watch Ultra 2 Launch"/>
    <n v="0.19210049402944315"/>
  </r>
  <r>
    <x v="97"/>
    <x v="1"/>
    <d v="2024-06-10T00:00:00"/>
    <x v="2"/>
    <x v="5"/>
    <x v="5"/>
    <n v="21561"/>
    <n v="340"/>
    <n v="741"/>
    <n v="986"/>
    <n v="24826"/>
    <n v="198492"/>
    <s v="Apple Watch Ultra 2 Launch"/>
    <n v="0.11407008846704149"/>
  </r>
  <r>
    <x v="98"/>
    <x v="3"/>
    <d v="2024-07-02T00:00:00"/>
    <x v="3"/>
    <x v="5"/>
    <x v="5"/>
    <n v="12320"/>
    <n v="1157"/>
    <n v="365"/>
    <n v="584"/>
    <n v="66634"/>
    <n v="210102"/>
    <s v="iPhone 16 Launch"/>
    <n v="6.5882285746922925E-2"/>
  </r>
  <r>
    <x v="99"/>
    <x v="2"/>
    <d v="2025-09-25T00:00:00"/>
    <x v="0"/>
    <x v="4"/>
    <x v="4"/>
    <n v="20564"/>
    <n v="1433"/>
    <n v="488"/>
    <n v="1015"/>
    <n v="24333"/>
    <n v="172130"/>
    <s v="Apple Event September 2025"/>
    <n v="0.13062801371056759"/>
  </r>
  <r>
    <x v="100"/>
    <x v="0"/>
    <d v="2024-10-18T00:00:00"/>
    <x v="3"/>
    <x v="1"/>
    <x v="1"/>
    <n v="6892"/>
    <n v="1184"/>
    <n v="925"/>
    <n v="1062"/>
    <n v="75008"/>
    <n v="116260"/>
    <s v="MacBook Air M3 Campaign"/>
    <n v="7.7421297092723204E-2"/>
  </r>
  <r>
    <x v="101"/>
    <x v="3"/>
    <d v="2025-09-26T00:00:00"/>
    <x v="3"/>
    <x v="4"/>
    <x v="4"/>
    <n v="9043"/>
    <n v="1192"/>
    <n v="810"/>
    <n v="1550"/>
    <n v="5221"/>
    <n v="199476"/>
    <s v="Apple Event September 2025"/>
    <n v="5.5370069582305642E-2"/>
  </r>
  <r>
    <x v="102"/>
    <x v="3"/>
    <d v="2025-09-27T00:00:00"/>
    <x v="1"/>
    <x v="1"/>
    <x v="1"/>
    <n v="18521"/>
    <n v="1027"/>
    <n v="230"/>
    <n v="1247"/>
    <n v="39588"/>
    <n v="200928"/>
    <s v="Apple Event September 2025"/>
    <n v="9.8433269628921807E-2"/>
  </r>
  <r>
    <x v="103"/>
    <x v="1"/>
    <d v="2025-03-23T00:00:00"/>
    <x v="0"/>
    <x v="2"/>
    <x v="2"/>
    <n v="24711"/>
    <n v="882"/>
    <n v="876"/>
    <n v="2728"/>
    <n v="32015"/>
    <n v="180272"/>
    <s v="iPhone 16 Launch"/>
    <n v="0.1468281263867933"/>
  </r>
  <r>
    <x v="104"/>
    <x v="3"/>
    <d v="2024-06-14T00:00:00"/>
    <x v="3"/>
    <x v="7"/>
    <x v="7"/>
    <n v="21856"/>
    <n v="1203"/>
    <n v="634"/>
    <n v="2807"/>
    <n v="3647"/>
    <n v="104178"/>
    <s v="iPhone 16 Launch"/>
    <n v="0.22742805582752595"/>
  </r>
  <r>
    <x v="105"/>
    <x v="3"/>
    <d v="2025-02-04T00:00:00"/>
    <x v="3"/>
    <x v="6"/>
    <x v="6"/>
    <n v="23833"/>
    <n v="555"/>
    <n v="523"/>
    <n v="1330"/>
    <n v="69141"/>
    <n v="73997"/>
    <s v="iPhone 16 Launch"/>
    <n v="0.33664878305877266"/>
  </r>
  <r>
    <x v="106"/>
    <x v="3"/>
    <d v="2024-06-21T00:00:00"/>
    <x v="2"/>
    <x v="3"/>
    <x v="3"/>
    <n v="21216"/>
    <n v="1207"/>
    <n v="859"/>
    <n v="328"/>
    <n v="91296"/>
    <n v="196683"/>
    <s v="Sustainability Awareness Drive"/>
    <n v="0.1183732198512327"/>
  </r>
  <r>
    <x v="107"/>
    <x v="1"/>
    <d v="2025-09-28T00:00:00"/>
    <x v="3"/>
    <x v="6"/>
    <x v="6"/>
    <n v="21963"/>
    <n v="1356"/>
    <n v="349"/>
    <n v="1206"/>
    <n v="51755"/>
    <n v="159273"/>
    <s v="Apple Event September 2025"/>
    <n v="0.14860020216860359"/>
  </r>
  <r>
    <x v="108"/>
    <x v="3"/>
    <d v="2024-08-08T00:00:00"/>
    <x v="3"/>
    <x v="6"/>
    <x v="6"/>
    <n v="24355"/>
    <n v="1087"/>
    <n v="686"/>
    <n v="2426"/>
    <n v="24963"/>
    <n v="212307"/>
    <s v="Apple Watch Ultra 2 Launch"/>
    <n v="0.1230670679723231"/>
  </r>
  <r>
    <x v="109"/>
    <x v="0"/>
    <d v="2024-07-29T00:00:00"/>
    <x v="2"/>
    <x v="6"/>
    <x v="6"/>
    <n v="6164"/>
    <n v="326"/>
    <n v="615"/>
    <n v="2806"/>
    <n v="38579"/>
    <n v="206129"/>
    <s v="MacBook Air M3 Campaign"/>
    <n v="3.4468706489625425E-2"/>
  </r>
  <r>
    <x v="110"/>
    <x v="1"/>
    <d v="2024-11-23T00:00:00"/>
    <x v="1"/>
    <x v="4"/>
    <x v="4"/>
    <n v="9941"/>
    <n v="1329"/>
    <n v="238"/>
    <n v="869"/>
    <n v="40281"/>
    <n v="172311"/>
    <s v="Sustainability Awareness Drive"/>
    <n v="6.6786217943137702E-2"/>
  </r>
  <r>
    <x v="111"/>
    <x v="0"/>
    <d v="2024-10-05T00:00:00"/>
    <x v="3"/>
    <x v="1"/>
    <x v="1"/>
    <n v="16388"/>
    <n v="1208"/>
    <n v="417"/>
    <n v="2306"/>
    <n v="16865"/>
    <n v="236733"/>
    <s v="Apple Watch Ultra 2 Launch"/>
    <n v="7.6089940988370866E-2"/>
  </r>
  <r>
    <x v="112"/>
    <x v="1"/>
    <d v="2025-09-29T00:00:00"/>
    <x v="2"/>
    <x v="8"/>
    <x v="9"/>
    <n v="7569"/>
    <n v="803"/>
    <n v="804"/>
    <n v="1753"/>
    <n v="43582"/>
    <n v="166945"/>
    <s v="Apple Event September 2025"/>
    <n v="5.4964209769684629E-2"/>
  </r>
  <r>
    <x v="113"/>
    <x v="3"/>
    <d v="2024-11-14T00:00:00"/>
    <x v="0"/>
    <x v="2"/>
    <x v="2"/>
    <n v="6300"/>
    <n v="1213"/>
    <n v="720"/>
    <n v="1037"/>
    <n v="39569"/>
    <n v="85272"/>
    <s v="iPhone 16 Launch"/>
    <n v="9.6549863964724647E-2"/>
  </r>
  <r>
    <x v="114"/>
    <x v="0"/>
    <d v="2025-09-30T00:00:00"/>
    <x v="1"/>
    <x v="0"/>
    <x v="0"/>
    <n v="8269"/>
    <n v="250"/>
    <n v="638"/>
    <n v="815"/>
    <n v="41991"/>
    <n v="129393"/>
    <s v="Apple Event September 2025"/>
    <n v="7.0768897853825175E-2"/>
  </r>
  <r>
    <x v="115"/>
    <x v="1"/>
    <d v="2025-03-18T00:00:00"/>
    <x v="0"/>
    <x v="6"/>
    <x v="6"/>
    <n v="5818"/>
    <n v="1252"/>
    <n v="687"/>
    <n v="2300"/>
    <n v="25081"/>
    <n v="101212"/>
    <s v="MacBook Air M3 Campaign"/>
    <n v="7.6641109749832043E-2"/>
  </r>
  <r>
    <x v="116"/>
    <x v="2"/>
    <d v="2024-11-04T00:00:00"/>
    <x v="0"/>
    <x v="3"/>
    <x v="8"/>
    <n v="14015"/>
    <n v="978"/>
    <n v="196"/>
    <n v="2744"/>
    <n v="20190"/>
    <n v="186470"/>
    <s v="Sustainability Awareness Drive"/>
    <n v="8.1455462004611998E-2"/>
  </r>
  <r>
    <x v="117"/>
    <x v="3"/>
    <d v="2024-11-04T00:00:00"/>
    <x v="2"/>
    <x v="4"/>
    <x v="4"/>
    <n v="14234"/>
    <n v="1013"/>
    <n v="437"/>
    <n v="338"/>
    <n v="67754"/>
    <n v="160030"/>
    <s v="Sustainability Awareness Drive"/>
    <n v="9.8006623758045364E-2"/>
  </r>
  <r>
    <x v="118"/>
    <x v="1"/>
    <d v="2025-02-07T00:00:00"/>
    <x v="3"/>
    <x v="10"/>
    <x v="10"/>
    <n v="20290"/>
    <n v="619"/>
    <n v="927"/>
    <n v="1186"/>
    <n v="8924"/>
    <n v="96503"/>
    <s v="MacBook Air M3 Campaign"/>
    <n v="0.22627275835984373"/>
  </r>
  <r>
    <x v="119"/>
    <x v="2"/>
    <d v="2024-10-21T00:00:00"/>
    <x v="2"/>
    <x v="3"/>
    <x v="3"/>
    <n v="8254"/>
    <n v="1405"/>
    <n v="165"/>
    <n v="2504"/>
    <n v="8081"/>
    <n v="177710"/>
    <s v="Apple Watch Ultra 2 Launch"/>
    <n v="5.5281075910190762E-2"/>
  </r>
  <r>
    <x v="120"/>
    <x v="1"/>
    <d v="2024-07-29T00:00:00"/>
    <x v="2"/>
    <x v="0"/>
    <x v="0"/>
    <n v="19144"/>
    <n v="1182"/>
    <n v="860"/>
    <n v="1398"/>
    <n v="4185"/>
    <n v="46570"/>
    <s v="Apple Watch Ultra 2 Launch"/>
    <n v="0.454928065278076"/>
  </r>
  <r>
    <x v="121"/>
    <x v="2"/>
    <d v="2024-10-02T00:00:00"/>
    <x v="2"/>
    <x v="8"/>
    <x v="9"/>
    <n v="9350"/>
    <n v="1024"/>
    <n v="550"/>
    <n v="2123"/>
    <n v="53916"/>
    <n v="108785"/>
    <s v="Sustainability Awareness Drive"/>
    <n v="0.10041825619340902"/>
  </r>
  <r>
    <x v="122"/>
    <x v="3"/>
    <d v="2024-06-14T00:00:00"/>
    <x v="2"/>
    <x v="3"/>
    <x v="8"/>
    <n v="17183"/>
    <n v="1224"/>
    <n v="943"/>
    <n v="2010"/>
    <n v="21481"/>
    <n v="49110"/>
    <s v="Sustainability Awareness Drive"/>
    <n v="0.39401343921808185"/>
  </r>
  <r>
    <x v="123"/>
    <x v="0"/>
    <d v="2025-04-06T00:00:00"/>
    <x v="1"/>
    <x v="8"/>
    <x v="9"/>
    <n v="8238"/>
    <n v="766"/>
    <n v="235"/>
    <n v="1273"/>
    <n v="4706"/>
    <n v="119141"/>
    <s v="iPhone 16 Launch"/>
    <n v="7.7546772311798629E-2"/>
  </r>
  <r>
    <x v="124"/>
    <x v="2"/>
    <d v="2024-09-08T00:00:00"/>
    <x v="3"/>
    <x v="0"/>
    <x v="0"/>
    <n v="8090"/>
    <n v="570"/>
    <n v="399"/>
    <n v="1862"/>
    <n v="34088"/>
    <n v="52115"/>
    <s v="Apple Watch Ultra 2 Launch"/>
    <n v="0.17382711311522595"/>
  </r>
  <r>
    <x v="125"/>
    <x v="1"/>
    <d v="2025-03-28T00:00:00"/>
    <x v="0"/>
    <x v="6"/>
    <x v="6"/>
    <n v="13637"/>
    <n v="1135"/>
    <n v="540"/>
    <n v="1288"/>
    <n v="45183"/>
    <n v="79062"/>
    <s v="MacBook Air M3 Campaign"/>
    <n v="0.19367079001290127"/>
  </r>
  <r>
    <x v="126"/>
    <x v="3"/>
    <d v="2025-01-27T00:00:00"/>
    <x v="0"/>
    <x v="3"/>
    <x v="8"/>
    <n v="24415"/>
    <n v="860"/>
    <n v="931"/>
    <n v="320"/>
    <n v="65049"/>
    <n v="62911"/>
    <s v="Apple Watch Ultra 2 Launch"/>
    <n v="0.41655672298962027"/>
  </r>
  <r>
    <x v="127"/>
    <x v="2"/>
    <d v="2025-01-10T00:00:00"/>
    <x v="3"/>
    <x v="8"/>
    <x v="9"/>
    <n v="14647"/>
    <n v="1168"/>
    <n v="484"/>
    <n v="2650"/>
    <n v="27217"/>
    <n v="144061"/>
    <s v="iPhone 16 Launch"/>
    <n v="0.11313957281984714"/>
  </r>
  <r>
    <x v="128"/>
    <x v="1"/>
    <d v="2024-07-21T00:00:00"/>
    <x v="0"/>
    <x v="3"/>
    <x v="3"/>
    <n v="11911"/>
    <n v="1360"/>
    <n v="778"/>
    <n v="1168"/>
    <n v="16483"/>
    <n v="72556"/>
    <s v="Sustainability Awareness Drive"/>
    <n v="0.19362974805667346"/>
  </r>
  <r>
    <x v="129"/>
    <x v="1"/>
    <d v="2024-09-29T00:00:00"/>
    <x v="3"/>
    <x v="1"/>
    <x v="1"/>
    <n v="10472"/>
    <n v="401"/>
    <n v="668"/>
    <n v="383"/>
    <n v="37571"/>
    <n v="249203"/>
    <s v="Sustainability Awareness Drive"/>
    <n v="4.6311641513143903E-2"/>
  </r>
  <r>
    <x v="130"/>
    <x v="1"/>
    <d v="2024-10-21T00:00:00"/>
    <x v="0"/>
    <x v="7"/>
    <x v="7"/>
    <n v="20271"/>
    <n v="512"/>
    <n v="286"/>
    <n v="1982"/>
    <n v="43225"/>
    <n v="168335"/>
    <s v="iPhone 16 Launch"/>
    <n v="0.12516113701844536"/>
  </r>
  <r>
    <x v="131"/>
    <x v="2"/>
    <d v="2025-03-04T00:00:00"/>
    <x v="2"/>
    <x v="1"/>
    <x v="1"/>
    <n v="5266"/>
    <n v="316"/>
    <n v="837"/>
    <n v="2276"/>
    <n v="20967"/>
    <n v="41969"/>
    <s v="MacBook Air M3 Campaign"/>
    <n v="0.1529462222116324"/>
  </r>
  <r>
    <x v="132"/>
    <x v="2"/>
    <d v="2025-02-06T00:00:00"/>
    <x v="0"/>
    <x v="0"/>
    <x v="0"/>
    <n v="2666"/>
    <n v="1136"/>
    <n v="989"/>
    <n v="1710"/>
    <n v="36467"/>
    <n v="83753"/>
    <s v="Sustainability Awareness Drive"/>
    <n v="5.7203921053574198E-2"/>
  </r>
  <r>
    <x v="133"/>
    <x v="2"/>
    <d v="2025-10-01T00:00:00"/>
    <x v="3"/>
    <x v="4"/>
    <x v="4"/>
    <n v="6188"/>
    <n v="774"/>
    <n v="647"/>
    <n v="1830"/>
    <n v="55436"/>
    <n v="175542"/>
    <s v="Apple Event September 2025"/>
    <n v="4.3345752013763089E-2"/>
  </r>
  <r>
    <x v="134"/>
    <x v="0"/>
    <d v="2024-11-28T00:00:00"/>
    <x v="3"/>
    <x v="7"/>
    <x v="7"/>
    <n v="19055"/>
    <n v="443"/>
    <n v="976"/>
    <n v="869"/>
    <n v="75437"/>
    <n v="161863"/>
    <s v="Sustainability Awareness Drive"/>
    <n v="0.12648968572187591"/>
  </r>
  <r>
    <x v="135"/>
    <x v="2"/>
    <d v="2025-10-02T00:00:00"/>
    <x v="3"/>
    <x v="2"/>
    <x v="2"/>
    <n v="12161"/>
    <n v="736"/>
    <n v="876"/>
    <n v="1233"/>
    <n v="21337"/>
    <n v="50225"/>
    <s v="Apple Event September 2025"/>
    <n v="0.27422598307615731"/>
  </r>
  <r>
    <x v="136"/>
    <x v="2"/>
    <d v="2024-07-31T00:00:00"/>
    <x v="3"/>
    <x v="3"/>
    <x v="3"/>
    <n v="13314"/>
    <n v="274"/>
    <n v="626"/>
    <n v="2280"/>
    <n v="14639"/>
    <n v="163008"/>
    <s v="iPhone 16 Launch"/>
    <n v="8.7198174322732622E-2"/>
  </r>
  <r>
    <x v="137"/>
    <x v="2"/>
    <d v="2025-03-29T00:00:00"/>
    <x v="3"/>
    <x v="2"/>
    <x v="2"/>
    <n v="23508"/>
    <n v="585"/>
    <n v="743"/>
    <n v="2155"/>
    <n v="3704"/>
    <n v="194268"/>
    <s v="iPhone 16 Launch"/>
    <n v="0.1278440093067309"/>
  </r>
  <r>
    <x v="138"/>
    <x v="0"/>
    <d v="2024-10-29T00:00:00"/>
    <x v="1"/>
    <x v="3"/>
    <x v="8"/>
    <n v="23969"/>
    <n v="1433"/>
    <n v="372"/>
    <n v="1092"/>
    <n v="32147"/>
    <n v="145823"/>
    <s v="Sustainability Awareness Drive"/>
    <n v="0.17674852389540743"/>
  </r>
  <r>
    <x v="139"/>
    <x v="2"/>
    <d v="2024-07-15T00:00:00"/>
    <x v="1"/>
    <x v="5"/>
    <x v="5"/>
    <n v="14891"/>
    <n v="674"/>
    <n v="521"/>
    <n v="1091"/>
    <n v="18101"/>
    <n v="53669"/>
    <s v="Apple Watch Ultra 2 Launch"/>
    <n v="0.29972609886526674"/>
  </r>
  <r>
    <x v="140"/>
    <x v="1"/>
    <d v="2025-10-03T00:00:00"/>
    <x v="0"/>
    <x v="7"/>
    <x v="7"/>
    <n v="6777"/>
    <n v="617"/>
    <n v="551"/>
    <n v="2109"/>
    <n v="18559"/>
    <n v="208452"/>
    <s v="Apple Event September 2025"/>
    <n v="3.8114290100358834E-2"/>
  </r>
  <r>
    <x v="141"/>
    <x v="2"/>
    <d v="2025-03-25T00:00:00"/>
    <x v="3"/>
    <x v="2"/>
    <x v="2"/>
    <n v="5900"/>
    <n v="546"/>
    <n v="592"/>
    <n v="1594"/>
    <n v="38627"/>
    <n v="164398"/>
    <s v="MacBook Air M3 Campaign"/>
    <n v="4.2810739790021778E-2"/>
  </r>
  <r>
    <x v="142"/>
    <x v="1"/>
    <d v="2024-10-02T00:00:00"/>
    <x v="0"/>
    <x v="2"/>
    <x v="2"/>
    <n v="15716"/>
    <n v="839"/>
    <n v="639"/>
    <n v="2839"/>
    <n v="349"/>
    <n v="150677"/>
    <s v="Sustainability Awareness Drive"/>
    <n v="0.11411164278556117"/>
  </r>
  <r>
    <x v="143"/>
    <x v="1"/>
    <d v="2024-10-28T00:00:00"/>
    <x v="3"/>
    <x v="8"/>
    <x v="9"/>
    <n v="8981"/>
    <n v="1138"/>
    <n v="764"/>
    <n v="2555"/>
    <n v="92810"/>
    <n v="88320"/>
    <s v="MacBook Air M3 Campaign"/>
    <n v="0.1232223731884058"/>
  </r>
  <r>
    <x v="144"/>
    <x v="1"/>
    <d v="2024-08-12T00:00:00"/>
    <x v="3"/>
    <x v="1"/>
    <x v="1"/>
    <n v="8376"/>
    <n v="1154"/>
    <n v="422"/>
    <n v="1907"/>
    <n v="36874"/>
    <n v="218486"/>
    <s v="Sustainability Awareness Drive"/>
    <n v="4.5549829279679245E-2"/>
  </r>
  <r>
    <x v="145"/>
    <x v="0"/>
    <d v="2024-06-05T00:00:00"/>
    <x v="1"/>
    <x v="8"/>
    <x v="9"/>
    <n v="18907"/>
    <n v="1075"/>
    <n v="675"/>
    <n v="1383"/>
    <n v="17875"/>
    <n v="186649"/>
    <s v="Apple Watch Ultra 2 Launch"/>
    <n v="0.11067297440650634"/>
  </r>
  <r>
    <x v="146"/>
    <x v="0"/>
    <d v="2024-10-21T00:00:00"/>
    <x v="1"/>
    <x v="7"/>
    <x v="7"/>
    <n v="20777"/>
    <n v="962"/>
    <n v="308"/>
    <n v="2777"/>
    <n v="25529"/>
    <n v="165354"/>
    <s v="Apple Watch Ultra 2 Launch"/>
    <n v="0.13333212380710477"/>
  </r>
  <r>
    <x v="147"/>
    <x v="0"/>
    <d v="2025-04-15T00:00:00"/>
    <x v="2"/>
    <x v="7"/>
    <x v="7"/>
    <n v="20977"/>
    <n v="1402"/>
    <n v="301"/>
    <n v="1284"/>
    <n v="24620"/>
    <n v="128009"/>
    <s v="Apple Watch Ultra 2 Launch"/>
    <n v="0.17717504237983267"/>
  </r>
  <r>
    <x v="148"/>
    <x v="2"/>
    <d v="2024-06-16T00:00:00"/>
    <x v="1"/>
    <x v="0"/>
    <x v="0"/>
    <n v="12160"/>
    <n v="1405"/>
    <n v="769"/>
    <n v="1980"/>
    <n v="33174"/>
    <n v="226481"/>
    <s v="Apple Watch Ultra 2 Launch"/>
    <n v="6.329007731332871E-2"/>
  </r>
  <r>
    <x v="149"/>
    <x v="1"/>
    <d v="2024-08-22T00:00:00"/>
    <x v="2"/>
    <x v="8"/>
    <x v="9"/>
    <n v="16124"/>
    <n v="863"/>
    <n v="337"/>
    <n v="819"/>
    <n v="85788"/>
    <n v="68625"/>
    <s v="iPhone 16 Launch"/>
    <n v="0.25244444444444447"/>
  </r>
  <r>
    <x v="150"/>
    <x v="0"/>
    <d v="2024-07-26T00:00:00"/>
    <x v="2"/>
    <x v="9"/>
    <x v="4"/>
    <n v="18282"/>
    <n v="224"/>
    <n v="962"/>
    <n v="890"/>
    <n v="35105"/>
    <n v="64089"/>
    <s v="iPhone 16 Launch"/>
    <n v="0.30376507669022768"/>
  </r>
  <r>
    <x v="151"/>
    <x v="0"/>
    <d v="2025-10-04T00:00:00"/>
    <x v="2"/>
    <x v="10"/>
    <x v="10"/>
    <n v="12488"/>
    <n v="1403"/>
    <n v="247"/>
    <n v="1350"/>
    <n v="28370"/>
    <n v="76487"/>
    <s v="Apple Event September 2025"/>
    <n v="0.18484186855282597"/>
  </r>
  <r>
    <x v="152"/>
    <x v="2"/>
    <d v="2025-01-01T00:00:00"/>
    <x v="2"/>
    <x v="1"/>
    <x v="1"/>
    <n v="24574"/>
    <n v="909"/>
    <n v="280"/>
    <n v="2009"/>
    <n v="6221"/>
    <n v="236910"/>
    <s v="MacBook Air M3 Campaign"/>
    <n v="0.10874593727575872"/>
  </r>
  <r>
    <x v="153"/>
    <x v="0"/>
    <d v="2024-10-09T00:00:00"/>
    <x v="2"/>
    <x v="7"/>
    <x v="7"/>
    <n v="7240"/>
    <n v="1384"/>
    <n v="954"/>
    <n v="2335"/>
    <n v="6757"/>
    <n v="150448"/>
    <s v="Sustainability Awareness Drive"/>
    <n v="6.3663192598106988E-2"/>
  </r>
  <r>
    <x v="154"/>
    <x v="2"/>
    <d v="2024-12-21T00:00:00"/>
    <x v="0"/>
    <x v="0"/>
    <x v="0"/>
    <n v="12453"/>
    <n v="376"/>
    <n v="320"/>
    <n v="2546"/>
    <n v="22617"/>
    <n v="90138"/>
    <s v="Sustainability Awareness Drive"/>
    <n v="0.14587632297144379"/>
  </r>
  <r>
    <x v="155"/>
    <x v="3"/>
    <d v="2024-10-22T00:00:00"/>
    <x v="1"/>
    <x v="5"/>
    <x v="5"/>
    <n v="12478"/>
    <n v="484"/>
    <n v="332"/>
    <n v="2734"/>
    <n v="43338"/>
    <n v="213895"/>
    <s v="iPhone 16 Launch"/>
    <n v="6.2151990462610156E-2"/>
  </r>
  <r>
    <x v="156"/>
    <x v="0"/>
    <d v="2024-07-23T00:00:00"/>
    <x v="2"/>
    <x v="8"/>
    <x v="9"/>
    <n v="24877"/>
    <n v="262"/>
    <n v="513"/>
    <n v="648"/>
    <n v="47544"/>
    <n v="208280"/>
    <s v="Sustainability Awareness Drive"/>
    <n v="0.12316112924908777"/>
  </r>
  <r>
    <x v="157"/>
    <x v="3"/>
    <d v="2024-08-11T00:00:00"/>
    <x v="3"/>
    <x v="1"/>
    <x v="1"/>
    <n v="14394"/>
    <n v="1202"/>
    <n v="188"/>
    <n v="1259"/>
    <n v="21925"/>
    <n v="94061"/>
    <s v="iPhone 16 Launch"/>
    <n v="0.1678059982351878"/>
  </r>
  <r>
    <x v="158"/>
    <x v="2"/>
    <d v="2025-10-05T00:00:00"/>
    <x v="1"/>
    <x v="5"/>
    <x v="5"/>
    <n v="21262"/>
    <n v="861"/>
    <n v="676"/>
    <n v="2263"/>
    <n v="12085"/>
    <n v="201731"/>
    <s v="Apple Event September 2025"/>
    <n v="0.11301683925623726"/>
  </r>
  <r>
    <x v="159"/>
    <x v="1"/>
    <d v="2024-08-24T00:00:00"/>
    <x v="1"/>
    <x v="8"/>
    <x v="9"/>
    <n v="22527"/>
    <n v="865"/>
    <n v="646"/>
    <n v="992"/>
    <n v="18654"/>
    <n v="141376"/>
    <s v="MacBook Air M3 Campaign"/>
    <n v="0.17002885921231325"/>
  </r>
  <r>
    <x v="160"/>
    <x v="0"/>
    <d v="2025-10-06T00:00:00"/>
    <x v="2"/>
    <x v="2"/>
    <x v="2"/>
    <n v="22028"/>
    <n v="355"/>
    <n v="665"/>
    <n v="1859"/>
    <n v="50565"/>
    <n v="202962"/>
    <s v="Apple Event September 2025"/>
    <n v="0.11355820301337197"/>
  </r>
  <r>
    <x v="161"/>
    <x v="2"/>
    <d v="2025-04-01T00:00:00"/>
    <x v="0"/>
    <x v="5"/>
    <x v="5"/>
    <n v="6432"/>
    <n v="1272"/>
    <n v="498"/>
    <n v="677"/>
    <n v="47305"/>
    <n v="119134"/>
    <s v="Apple Watch Ultra 2 Launch"/>
    <n v="6.8846844729464299E-2"/>
  </r>
  <r>
    <x v="162"/>
    <x v="1"/>
    <d v="2025-04-08T00:00:00"/>
    <x v="2"/>
    <x v="0"/>
    <x v="0"/>
    <n v="15568"/>
    <n v="1166"/>
    <n v="546"/>
    <n v="826"/>
    <n v="21836"/>
    <n v="87055"/>
    <s v="Apple Watch Ultra 2 Launch"/>
    <n v="0.19849520418126471"/>
  </r>
  <r>
    <x v="163"/>
    <x v="1"/>
    <d v="2025-02-27T00:00:00"/>
    <x v="0"/>
    <x v="1"/>
    <x v="1"/>
    <n v="16178"/>
    <n v="1048"/>
    <n v="871"/>
    <n v="2553"/>
    <n v="39025"/>
    <n v="59508"/>
    <s v="Apple Watch Ultra 2 Launch"/>
    <n v="0.30411037171472743"/>
  </r>
  <r>
    <x v="164"/>
    <x v="3"/>
    <d v="2025-10-07T00:00:00"/>
    <x v="3"/>
    <x v="6"/>
    <x v="6"/>
    <n v="19660"/>
    <n v="1307"/>
    <n v="310"/>
    <n v="2802"/>
    <n v="22171"/>
    <n v="213359"/>
    <s v="Apple Event September 2025"/>
    <n v="9.9723939463533293E-2"/>
  </r>
  <r>
    <x v="165"/>
    <x v="2"/>
    <d v="2025-02-16T00:00:00"/>
    <x v="1"/>
    <x v="3"/>
    <x v="8"/>
    <n v="24195"/>
    <n v="888"/>
    <n v="165"/>
    <n v="1559"/>
    <n v="11596"/>
    <n v="249988"/>
    <s v="Sustainability Awareness Drive"/>
    <n v="0.10099684784869674"/>
  </r>
  <r>
    <x v="166"/>
    <x v="1"/>
    <d v="2024-11-28T00:00:00"/>
    <x v="3"/>
    <x v="3"/>
    <x v="8"/>
    <n v="2302"/>
    <n v="347"/>
    <n v="642"/>
    <n v="2175"/>
    <n v="56378"/>
    <n v="198056"/>
    <s v="MacBook Air M3 Campaign"/>
    <n v="1.6616512501514722E-2"/>
  </r>
  <r>
    <x v="167"/>
    <x v="0"/>
    <d v="2024-11-12T00:00:00"/>
    <x v="0"/>
    <x v="1"/>
    <x v="1"/>
    <n v="19022"/>
    <n v="541"/>
    <n v="575"/>
    <n v="2063"/>
    <n v="42743"/>
    <n v="150169"/>
    <s v="Apple Watch Ultra 2 Launch"/>
    <n v="0.13410224480418728"/>
  </r>
  <r>
    <x v="168"/>
    <x v="0"/>
    <d v="2024-12-03T00:00:00"/>
    <x v="0"/>
    <x v="5"/>
    <x v="5"/>
    <n v="2055"/>
    <n v="675"/>
    <n v="257"/>
    <n v="820"/>
    <n v="33534"/>
    <n v="48125"/>
    <s v="Apple Watch Ultra 2 Launch"/>
    <n v="6.2067532467532466E-2"/>
  </r>
  <r>
    <x v="169"/>
    <x v="3"/>
    <d v="2025-04-28T00:00:00"/>
    <x v="3"/>
    <x v="8"/>
    <x v="9"/>
    <n v="15013"/>
    <n v="1286"/>
    <n v="599"/>
    <n v="2001"/>
    <n v="67839"/>
    <n v="76059"/>
    <s v="Apple Watch Ultra 2 Launch"/>
    <n v="0.22216963147030594"/>
  </r>
  <r>
    <x v="170"/>
    <x v="1"/>
    <d v="2024-12-31T00:00:00"/>
    <x v="0"/>
    <x v="0"/>
    <x v="0"/>
    <n v="10717"/>
    <n v="760"/>
    <n v="460"/>
    <n v="1316"/>
    <n v="18164"/>
    <n v="240641"/>
    <s v="MacBook Air M3 Campaign"/>
    <n v="4.9605013277039242E-2"/>
  </r>
  <r>
    <x v="171"/>
    <x v="2"/>
    <d v="2024-08-14T00:00:00"/>
    <x v="3"/>
    <x v="10"/>
    <x v="10"/>
    <n v="10150"/>
    <n v="526"/>
    <n v="888"/>
    <n v="1313"/>
    <n v="51605"/>
    <n v="143409"/>
    <s v="Apple Watch Ultra 2 Launch"/>
    <n v="8.0636501195880311E-2"/>
  </r>
  <r>
    <x v="172"/>
    <x v="0"/>
    <d v="2024-12-05T00:00:00"/>
    <x v="1"/>
    <x v="3"/>
    <x v="8"/>
    <n v="4125"/>
    <n v="1364"/>
    <n v="319"/>
    <n v="2848"/>
    <n v="15379"/>
    <n v="188159"/>
    <s v="MacBook Air M3 Campaign"/>
    <n v="3.0867510988047343E-2"/>
  </r>
  <r>
    <x v="173"/>
    <x v="1"/>
    <d v="2024-06-22T00:00:00"/>
    <x v="3"/>
    <x v="0"/>
    <x v="0"/>
    <n v="13479"/>
    <n v="1189"/>
    <n v="695"/>
    <n v="416"/>
    <n v="30229"/>
    <n v="45704"/>
    <s v="Apple Watch Ultra 2 Launch"/>
    <n v="0.33614125678277612"/>
  </r>
  <r>
    <x v="174"/>
    <x v="1"/>
    <d v="2025-10-08T00:00:00"/>
    <x v="1"/>
    <x v="3"/>
    <x v="8"/>
    <n v="17745"/>
    <n v="414"/>
    <n v="563"/>
    <n v="2733"/>
    <n v="995"/>
    <n v="231648"/>
    <s v="Apple Event September 2025"/>
    <n v="8.0820900676889074E-2"/>
  </r>
  <r>
    <x v="175"/>
    <x v="3"/>
    <d v="2025-10-09T00:00:00"/>
    <x v="3"/>
    <x v="2"/>
    <x v="2"/>
    <n v="18748"/>
    <n v="634"/>
    <n v="400"/>
    <n v="1667"/>
    <n v="75813"/>
    <n v="244456"/>
    <s v="Apple Event September 2025"/>
    <n v="8.0922538207284747E-2"/>
  </r>
  <r>
    <x v="176"/>
    <x v="0"/>
    <d v="2024-07-10T00:00:00"/>
    <x v="0"/>
    <x v="8"/>
    <x v="9"/>
    <n v="8809"/>
    <n v="1151"/>
    <n v="908"/>
    <n v="883"/>
    <n v="42921"/>
    <n v="151279"/>
    <s v="MacBook Air M3 Campaign"/>
    <n v="7.1840771025720687E-2"/>
  </r>
  <r>
    <x v="177"/>
    <x v="0"/>
    <d v="2025-10-10T00:00:00"/>
    <x v="3"/>
    <x v="2"/>
    <x v="2"/>
    <n v="6621"/>
    <n v="922"/>
    <n v="930"/>
    <n v="694"/>
    <n v="839"/>
    <n v="243532"/>
    <s v="Apple Event September 2025"/>
    <n v="3.479214230573395E-2"/>
  </r>
  <r>
    <x v="178"/>
    <x v="2"/>
    <d v="2024-07-15T00:00:00"/>
    <x v="0"/>
    <x v="3"/>
    <x v="8"/>
    <n v="17034"/>
    <n v="231"/>
    <n v="290"/>
    <n v="1387"/>
    <n v="63550"/>
    <n v="198280"/>
    <s v="MacBook Air M3 Campaign"/>
    <n v="8.8536413153116805E-2"/>
  </r>
  <r>
    <x v="179"/>
    <x v="0"/>
    <d v="2025-10-11T00:00:00"/>
    <x v="3"/>
    <x v="6"/>
    <x v="6"/>
    <n v="15623"/>
    <n v="869"/>
    <n v="423"/>
    <n v="371"/>
    <n v="47579"/>
    <n v="158516"/>
    <s v="Apple Event September 2025"/>
    <n v="0.10670847106916652"/>
  </r>
  <r>
    <x v="180"/>
    <x v="2"/>
    <d v="2025-10-12T00:00:00"/>
    <x v="3"/>
    <x v="6"/>
    <x v="6"/>
    <n v="7126"/>
    <n v="484"/>
    <n v="565"/>
    <n v="573"/>
    <n v="7389"/>
    <n v="237096"/>
    <s v="Apple Event September 2025"/>
    <n v="3.4479704423524646E-2"/>
  </r>
  <r>
    <x v="181"/>
    <x v="0"/>
    <d v="2024-07-31T00:00:00"/>
    <x v="2"/>
    <x v="2"/>
    <x v="2"/>
    <n v="7122"/>
    <n v="628"/>
    <n v="757"/>
    <n v="2313"/>
    <n v="50924"/>
    <n v="210954"/>
    <s v="MacBook Air M3 Campaign"/>
    <n v="4.0326327066564277E-2"/>
  </r>
  <r>
    <x v="182"/>
    <x v="3"/>
    <d v="2024-12-17T00:00:00"/>
    <x v="0"/>
    <x v="6"/>
    <x v="6"/>
    <n v="20030"/>
    <n v="485"/>
    <n v="888"/>
    <n v="1643"/>
    <n v="4322"/>
    <n v="196995"/>
    <s v="Sustainability Awareness Drive"/>
    <n v="0.10864742759968526"/>
  </r>
  <r>
    <x v="183"/>
    <x v="0"/>
    <d v="2025-10-13T00:00:00"/>
    <x v="2"/>
    <x v="3"/>
    <x v="8"/>
    <n v="19302"/>
    <n v="1367"/>
    <n v="188"/>
    <n v="637"/>
    <n v="31404"/>
    <n v="154044"/>
    <s v="Apple Event September 2025"/>
    <n v="0.13539638025499209"/>
  </r>
  <r>
    <x v="184"/>
    <x v="2"/>
    <d v="2025-01-11T00:00:00"/>
    <x v="0"/>
    <x v="1"/>
    <x v="1"/>
    <n v="21181"/>
    <n v="1242"/>
    <n v="963"/>
    <n v="1689"/>
    <n v="49329"/>
    <n v="69165"/>
    <s v="Apple Watch Ultra 2 Launch"/>
    <n v="0.33811899081905589"/>
  </r>
  <r>
    <x v="185"/>
    <x v="2"/>
    <d v="2024-08-24T00:00:00"/>
    <x v="2"/>
    <x v="2"/>
    <x v="2"/>
    <n v="24890"/>
    <n v="217"/>
    <n v="178"/>
    <n v="906"/>
    <n v="54826"/>
    <n v="107203"/>
    <s v="Sustainability Awareness Drive"/>
    <n v="0.23586093672751696"/>
  </r>
  <r>
    <x v="186"/>
    <x v="3"/>
    <d v="2024-12-22T00:00:00"/>
    <x v="1"/>
    <x v="10"/>
    <x v="10"/>
    <n v="7870"/>
    <n v="968"/>
    <n v="626"/>
    <n v="465"/>
    <n v="27184"/>
    <n v="44114"/>
    <s v="MacBook Air M3 Campaign"/>
    <n v="0.2145350682323072"/>
  </r>
  <r>
    <x v="187"/>
    <x v="0"/>
    <d v="2024-06-06T00:00:00"/>
    <x v="3"/>
    <x v="10"/>
    <x v="10"/>
    <n v="3531"/>
    <n v="789"/>
    <n v="467"/>
    <n v="1867"/>
    <n v="40816"/>
    <n v="236037"/>
    <s v="Sustainability Awareness Drive"/>
    <n v="2.0280718700881641E-2"/>
  </r>
  <r>
    <x v="188"/>
    <x v="0"/>
    <d v="2025-03-24T00:00:00"/>
    <x v="0"/>
    <x v="4"/>
    <x v="4"/>
    <n v="10172"/>
    <n v="1398"/>
    <n v="394"/>
    <n v="2358"/>
    <n v="59610"/>
    <n v="76321"/>
    <s v="iPhone 16 Launch"/>
    <n v="0.15675895231980713"/>
  </r>
  <r>
    <x v="189"/>
    <x v="3"/>
    <d v="2024-10-04T00:00:00"/>
    <x v="0"/>
    <x v="5"/>
    <x v="5"/>
    <n v="21729"/>
    <n v="1209"/>
    <n v="897"/>
    <n v="1624"/>
    <n v="38771"/>
    <n v="113297"/>
    <s v="iPhone 16 Launch"/>
    <n v="0.21037626768581694"/>
  </r>
  <r>
    <x v="190"/>
    <x v="0"/>
    <d v="2025-10-14T00:00:00"/>
    <x v="3"/>
    <x v="8"/>
    <x v="9"/>
    <n v="9673"/>
    <n v="393"/>
    <n v="846"/>
    <n v="1028"/>
    <n v="55556"/>
    <n v="136652"/>
    <s v="Apple Event September 2025"/>
    <n v="7.9852471972601938E-2"/>
  </r>
  <r>
    <x v="191"/>
    <x v="0"/>
    <d v="2025-10-15T00:00:00"/>
    <x v="0"/>
    <x v="6"/>
    <x v="6"/>
    <n v="8882"/>
    <n v="701"/>
    <n v="421"/>
    <n v="2343"/>
    <n v="13588"/>
    <n v="139304"/>
    <s v="Apple Event September 2025"/>
    <n v="7.1814161833113191E-2"/>
  </r>
  <r>
    <x v="192"/>
    <x v="2"/>
    <d v="2024-09-11T00:00:00"/>
    <x v="0"/>
    <x v="6"/>
    <x v="6"/>
    <n v="3906"/>
    <n v="1187"/>
    <n v="589"/>
    <n v="401"/>
    <n v="52687"/>
    <n v="196498"/>
    <s v="Apple Watch Ultra 2 Launch"/>
    <n v="2.8916324848090057E-2"/>
  </r>
  <r>
    <x v="193"/>
    <x v="0"/>
    <d v="2024-10-02T00:00:00"/>
    <x v="2"/>
    <x v="5"/>
    <x v="5"/>
    <n v="5086"/>
    <n v="1336"/>
    <n v="897"/>
    <n v="1715"/>
    <n v="60592"/>
    <n v="57772"/>
    <s v="Sustainability Awareness Drive"/>
    <n v="0.12668766876687668"/>
  </r>
  <r>
    <x v="194"/>
    <x v="0"/>
    <d v="2024-08-15T00:00:00"/>
    <x v="0"/>
    <x v="7"/>
    <x v="7"/>
    <n v="15503"/>
    <n v="313"/>
    <n v="388"/>
    <n v="1078"/>
    <n v="11500"/>
    <n v="143754"/>
    <s v="iPhone 16 Launch"/>
    <n v="0.1127203416948398"/>
  </r>
  <r>
    <x v="195"/>
    <x v="3"/>
    <d v="2025-09-18T00:00:00"/>
    <x v="1"/>
    <x v="9"/>
    <x v="4"/>
    <n v="10152"/>
    <n v="1445"/>
    <n v="526"/>
    <n v="513"/>
    <n v="18959"/>
    <n v="43712"/>
    <s v="Apple Event September 2025"/>
    <n v="0.27733803074670571"/>
  </r>
  <r>
    <x v="196"/>
    <x v="3"/>
    <d v="2024-10-22T00:00:00"/>
    <x v="1"/>
    <x v="2"/>
    <x v="2"/>
    <n v="7750"/>
    <n v="1146"/>
    <n v="415"/>
    <n v="1411"/>
    <n v="85339"/>
    <n v="172439"/>
    <s v="Sustainability Awareness Drive"/>
    <n v="5.3995905798572247E-2"/>
  </r>
  <r>
    <x v="197"/>
    <x v="1"/>
    <d v="2025-09-19T00:00:00"/>
    <x v="3"/>
    <x v="3"/>
    <x v="3"/>
    <n v="14772"/>
    <n v="1030"/>
    <n v="508"/>
    <n v="1876"/>
    <n v="8882"/>
    <n v="155142"/>
    <s v="Apple Event September 2025"/>
    <n v="0.10512949426976577"/>
  </r>
  <r>
    <x v="198"/>
    <x v="2"/>
    <d v="2025-09-20T00:00:00"/>
    <x v="0"/>
    <x v="6"/>
    <x v="6"/>
    <n v="12267"/>
    <n v="1487"/>
    <n v="489"/>
    <n v="2748"/>
    <n v="34685"/>
    <n v="131736"/>
    <s v="Apple Event September 2025"/>
    <n v="0.1081177506528208"/>
  </r>
  <r>
    <x v="199"/>
    <x v="0"/>
    <d v="2025-04-07T00:00:00"/>
    <x v="3"/>
    <x v="8"/>
    <x v="9"/>
    <n v="3062"/>
    <n v="1124"/>
    <n v="538"/>
    <n v="2935"/>
    <n v="69749"/>
    <n v="91924"/>
    <s v="iPhone 16 Launch"/>
    <n v="5.1390278926069365E-2"/>
  </r>
  <r>
    <x v="200"/>
    <x v="0"/>
    <d v="2025-01-15T00:00:00"/>
    <x v="1"/>
    <x v="4"/>
    <x v="4"/>
    <n v="20360"/>
    <n v="254"/>
    <n v="726"/>
    <n v="1995"/>
    <n v="14280"/>
    <n v="43726"/>
    <s v="iPhone 16 Launch"/>
    <n v="0.48803915290673738"/>
  </r>
  <r>
    <x v="201"/>
    <x v="1"/>
    <d v="2025-09-21T00:00:00"/>
    <x v="0"/>
    <x v="10"/>
    <x v="10"/>
    <n v="19680"/>
    <n v="999"/>
    <n v="838"/>
    <n v="891"/>
    <n v="29576"/>
    <n v="129152"/>
    <s v="Apple Event September 2025"/>
    <n v="0.16660214321110009"/>
  </r>
  <r>
    <x v="202"/>
    <x v="0"/>
    <d v="2024-11-21T00:00:00"/>
    <x v="0"/>
    <x v="6"/>
    <x v="6"/>
    <n v="8229"/>
    <n v="977"/>
    <n v="152"/>
    <n v="1633"/>
    <n v="71447"/>
    <n v="67723"/>
    <s v="MacBook Air M3 Campaign"/>
    <n v="0.13818052950991538"/>
  </r>
  <r>
    <x v="203"/>
    <x v="2"/>
    <d v="2025-09-22T00:00:00"/>
    <x v="3"/>
    <x v="4"/>
    <x v="4"/>
    <n v="18509"/>
    <n v="361"/>
    <n v="578"/>
    <n v="1409"/>
    <n v="10569"/>
    <n v="166969"/>
    <s v="Apple Event September 2025"/>
    <n v="0.11647671124580011"/>
  </r>
  <r>
    <x v="204"/>
    <x v="1"/>
    <d v="2025-09-23T00:00:00"/>
    <x v="1"/>
    <x v="3"/>
    <x v="8"/>
    <n v="17147"/>
    <n v="286"/>
    <n v="291"/>
    <n v="2439"/>
    <n v="45631"/>
    <n v="140494"/>
    <s v="Apple Event September 2025"/>
    <n v="0.12615485358805359"/>
  </r>
  <r>
    <x v="205"/>
    <x v="2"/>
    <d v="2024-06-24T00:00:00"/>
    <x v="0"/>
    <x v="3"/>
    <x v="8"/>
    <n v="6632"/>
    <n v="254"/>
    <n v="525"/>
    <n v="1013"/>
    <n v="13838"/>
    <n v="180180"/>
    <s v="Apple Watch Ultra 2 Launch"/>
    <n v="4.1131091131091133E-2"/>
  </r>
  <r>
    <x v="206"/>
    <x v="1"/>
    <d v="2024-12-29T00:00:00"/>
    <x v="3"/>
    <x v="9"/>
    <x v="4"/>
    <n v="8288"/>
    <n v="1401"/>
    <n v="819"/>
    <n v="1235"/>
    <n v="33446"/>
    <n v="248786"/>
    <s v="Apple Watch Ultra 2 Launch"/>
    <n v="4.2237103373984064E-2"/>
  </r>
  <r>
    <x v="207"/>
    <x v="1"/>
    <d v="2024-06-24T00:00:00"/>
    <x v="1"/>
    <x v="1"/>
    <x v="1"/>
    <n v="5596"/>
    <n v="1231"/>
    <n v="473"/>
    <n v="2251"/>
    <n v="43705"/>
    <n v="75643"/>
    <s v="Apple Watch Ultra 2 Launch"/>
    <n v="9.6505955607260427E-2"/>
  </r>
  <r>
    <x v="208"/>
    <x v="3"/>
    <d v="2025-03-19T00:00:00"/>
    <x v="3"/>
    <x v="3"/>
    <x v="3"/>
    <n v="13475"/>
    <n v="1032"/>
    <n v="295"/>
    <n v="541"/>
    <n v="43666"/>
    <n v="202396"/>
    <s v="MacBook Air M3 Campaign"/>
    <n v="7.3133856400324118E-2"/>
  </r>
  <r>
    <x v="209"/>
    <x v="2"/>
    <d v="2025-02-19T00:00:00"/>
    <x v="2"/>
    <x v="7"/>
    <x v="7"/>
    <n v="8168"/>
    <n v="512"/>
    <n v="442"/>
    <n v="2343"/>
    <n v="2753"/>
    <n v="143896"/>
    <s v="MacBook Air M3 Campaign"/>
    <n v="6.3393006059932172E-2"/>
  </r>
  <r>
    <x v="210"/>
    <x v="0"/>
    <d v="2025-09-24T00:00:00"/>
    <x v="0"/>
    <x v="9"/>
    <x v="4"/>
    <n v="11795"/>
    <n v="958"/>
    <n v="814"/>
    <n v="301"/>
    <n v="12564"/>
    <n v="179999"/>
    <s v="Apple Event September 2025"/>
    <n v="7.5372640959116444E-2"/>
  </r>
  <r>
    <x v="211"/>
    <x v="0"/>
    <d v="2025-03-03T00:00:00"/>
    <x v="2"/>
    <x v="0"/>
    <x v="0"/>
    <n v="9561"/>
    <n v="642"/>
    <n v="581"/>
    <n v="2572"/>
    <n v="38552"/>
    <n v="133680"/>
    <s v="Apple Watch Ultra 2 Launch"/>
    <n v="8.0670257330939563E-2"/>
  </r>
  <r>
    <x v="212"/>
    <x v="2"/>
    <d v="2025-05-01T00:00:00"/>
    <x v="1"/>
    <x v="7"/>
    <x v="7"/>
    <n v="10258"/>
    <n v="527"/>
    <n v="854"/>
    <n v="2068"/>
    <n v="45632"/>
    <n v="136546"/>
    <s v="MacBook Air M3 Campaign"/>
    <n v="8.5238674146441498E-2"/>
  </r>
  <r>
    <x v="213"/>
    <x v="0"/>
    <d v="2024-12-23T00:00:00"/>
    <x v="2"/>
    <x v="2"/>
    <x v="2"/>
    <n v="18616"/>
    <n v="1277"/>
    <n v="734"/>
    <n v="2249"/>
    <n v="3399"/>
    <n v="193515"/>
    <s v="iPhone 16 Launch"/>
    <n v="0.10659122031883833"/>
  </r>
  <r>
    <x v="214"/>
    <x v="0"/>
    <d v="2025-09-25T00:00:00"/>
    <x v="2"/>
    <x v="8"/>
    <x v="9"/>
    <n v="8371"/>
    <n v="960"/>
    <n v="548"/>
    <n v="2936"/>
    <n v="82543"/>
    <n v="119973"/>
    <s v="Apple Event September 2025"/>
    <n v="8.2343527293641069E-2"/>
  </r>
  <r>
    <x v="215"/>
    <x v="2"/>
    <d v="2024-07-29T00:00:00"/>
    <x v="1"/>
    <x v="0"/>
    <x v="0"/>
    <n v="22590"/>
    <n v="1462"/>
    <n v="966"/>
    <n v="2463"/>
    <n v="29689"/>
    <n v="103449"/>
    <s v="Sustainability Awareness Drive"/>
    <n v="0.24183897379385011"/>
  </r>
  <r>
    <x v="216"/>
    <x v="1"/>
    <d v="2025-09-26T00:00:00"/>
    <x v="3"/>
    <x v="0"/>
    <x v="0"/>
    <n v="16369"/>
    <n v="1452"/>
    <n v="493"/>
    <n v="1217"/>
    <n v="91440"/>
    <n v="149834"/>
    <s v="Apple Event September 2025"/>
    <n v="0.12222859965027964"/>
  </r>
  <r>
    <x v="217"/>
    <x v="2"/>
    <d v="2024-06-11T00:00:00"/>
    <x v="2"/>
    <x v="9"/>
    <x v="4"/>
    <n v="14910"/>
    <n v="778"/>
    <n v="289"/>
    <n v="2541"/>
    <n v="14309"/>
    <n v="247815"/>
    <s v="Sustainability Awareness Drive"/>
    <n v="6.4471480741682297E-2"/>
  </r>
  <r>
    <x v="218"/>
    <x v="1"/>
    <d v="2025-01-28T00:00:00"/>
    <x v="3"/>
    <x v="5"/>
    <x v="5"/>
    <n v="9943"/>
    <n v="1274"/>
    <n v="336"/>
    <n v="389"/>
    <n v="6145"/>
    <n v="231305"/>
    <s v="Apple Watch Ultra 2 Launch"/>
    <n v="4.9947039623008581E-2"/>
  </r>
  <r>
    <x v="219"/>
    <x v="0"/>
    <d v="2024-06-02T00:00:00"/>
    <x v="2"/>
    <x v="1"/>
    <x v="1"/>
    <n v="14199"/>
    <n v="1206"/>
    <n v="954"/>
    <n v="2009"/>
    <n v="8"/>
    <n v="65537"/>
    <s v="Sustainability Awareness Drive"/>
    <n v="0.24961472145505592"/>
  </r>
  <r>
    <x v="220"/>
    <x v="0"/>
    <d v="2025-03-23T00:00:00"/>
    <x v="3"/>
    <x v="5"/>
    <x v="5"/>
    <n v="17728"/>
    <n v="1487"/>
    <n v="210"/>
    <n v="2469"/>
    <n v="30565"/>
    <n v="117576"/>
    <s v="Apple Watch Ultra 2 Launch"/>
    <n v="0.16521228822208614"/>
  </r>
  <r>
    <x v="221"/>
    <x v="0"/>
    <d v="2024-10-08T00:00:00"/>
    <x v="1"/>
    <x v="9"/>
    <x v="4"/>
    <n v="8738"/>
    <n v="295"/>
    <n v="529"/>
    <n v="442"/>
    <n v="25286"/>
    <n v="147522"/>
    <s v="iPhone 16 Launch"/>
    <n v="6.4817450956467515E-2"/>
  </r>
  <r>
    <x v="222"/>
    <x v="3"/>
    <d v="2024-11-12T00:00:00"/>
    <x v="2"/>
    <x v="2"/>
    <x v="2"/>
    <n v="17913"/>
    <n v="1311"/>
    <n v="859"/>
    <n v="405"/>
    <n v="59842"/>
    <n v="62612"/>
    <s v="Sustainability Awareness Drive"/>
    <n v="0.32075321024723696"/>
  </r>
  <r>
    <x v="223"/>
    <x v="1"/>
    <d v="2025-09-07T00:00:00"/>
    <x v="1"/>
    <x v="10"/>
    <x v="10"/>
    <n v="4472"/>
    <n v="1301"/>
    <n v="956"/>
    <n v="1186"/>
    <n v="3363"/>
    <n v="46471"/>
    <s v="Apple Event September 2025"/>
    <n v="0.14479998278496267"/>
  </r>
  <r>
    <x v="224"/>
    <x v="3"/>
    <d v="2024-06-20T00:00:00"/>
    <x v="2"/>
    <x v="6"/>
    <x v="6"/>
    <n v="21123"/>
    <n v="1343"/>
    <n v="589"/>
    <n v="727"/>
    <n v="87833"/>
    <n v="206703"/>
    <s v="Apple Watch Ultra 2 Launch"/>
    <n v="0.11153684271636116"/>
  </r>
  <r>
    <x v="225"/>
    <x v="3"/>
    <d v="2025-09-08T00:00:00"/>
    <x v="1"/>
    <x v="6"/>
    <x v="6"/>
    <n v="23785"/>
    <n v="1013"/>
    <n v="468"/>
    <n v="1628"/>
    <n v="8272"/>
    <n v="71348"/>
    <s v="Apple Event September 2025"/>
    <n v="0.35412345125301342"/>
  </r>
  <r>
    <x v="226"/>
    <x v="2"/>
    <d v="2024-06-12T00:00:00"/>
    <x v="1"/>
    <x v="1"/>
    <x v="1"/>
    <n v="17679"/>
    <n v="690"/>
    <n v="451"/>
    <n v="2195"/>
    <n v="4390"/>
    <n v="235804"/>
    <s v="MacBook Air M3 Campaign"/>
    <n v="7.9812047293514959E-2"/>
  </r>
  <r>
    <x v="227"/>
    <x v="3"/>
    <d v="2024-07-01T00:00:00"/>
    <x v="2"/>
    <x v="2"/>
    <x v="2"/>
    <n v="3761"/>
    <n v="651"/>
    <n v="493"/>
    <n v="2294"/>
    <n v="71696"/>
    <n v="41177"/>
    <s v="Apple Watch Ultra 2 Launch"/>
    <n v="0.11911989702989532"/>
  </r>
  <r>
    <x v="228"/>
    <x v="2"/>
    <d v="2024-07-03T00:00:00"/>
    <x v="2"/>
    <x v="1"/>
    <x v="1"/>
    <n v="12167"/>
    <n v="364"/>
    <n v="160"/>
    <n v="616"/>
    <n v="42228"/>
    <n v="175832"/>
    <s v="Sustainability Awareness Drive"/>
    <n v="7.2176850630146963E-2"/>
  </r>
  <r>
    <x v="229"/>
    <x v="2"/>
    <d v="2024-07-15T00:00:00"/>
    <x v="2"/>
    <x v="4"/>
    <x v="4"/>
    <n v="12554"/>
    <n v="381"/>
    <n v="211"/>
    <n v="2286"/>
    <n v="50567"/>
    <n v="72779"/>
    <s v="Apple Watch Ultra 2 Launch"/>
    <n v="0.18062902760411656"/>
  </r>
  <r>
    <x v="230"/>
    <x v="3"/>
    <d v="2025-09-09T00:00:00"/>
    <x v="0"/>
    <x v="5"/>
    <x v="5"/>
    <n v="19260"/>
    <n v="668"/>
    <n v="994"/>
    <n v="934"/>
    <n v="20509"/>
    <n v="61636"/>
    <s v="Apple Event September 2025"/>
    <n v="0.33944448049841003"/>
  </r>
  <r>
    <x v="231"/>
    <x v="1"/>
    <d v="2025-04-29T00:00:00"/>
    <x v="3"/>
    <x v="6"/>
    <x v="6"/>
    <n v="16277"/>
    <n v="1109"/>
    <n v="375"/>
    <n v="2225"/>
    <n v="1044"/>
    <n v="121889"/>
    <s v="iPhone 16 Launch"/>
    <n v="0.14571454356012437"/>
  </r>
  <r>
    <x v="232"/>
    <x v="1"/>
    <d v="2025-03-08T00:00:00"/>
    <x v="0"/>
    <x v="0"/>
    <x v="0"/>
    <n v="5812"/>
    <n v="934"/>
    <n v="302"/>
    <n v="2356"/>
    <n v="37437"/>
    <n v="93551"/>
    <s v="Apple Watch Ultra 2 Launch"/>
    <n v="7.5338585370546551E-2"/>
  </r>
  <r>
    <x v="233"/>
    <x v="1"/>
    <d v="2024-06-01T00:00:00"/>
    <x v="0"/>
    <x v="5"/>
    <x v="5"/>
    <n v="19844"/>
    <n v="1022"/>
    <n v="860"/>
    <n v="2570"/>
    <n v="23719"/>
    <n v="182628"/>
    <s v="Sustainability Awareness Drive"/>
    <n v="0.11896313818253498"/>
  </r>
  <r>
    <x v="234"/>
    <x v="1"/>
    <d v="2024-12-22T00:00:00"/>
    <x v="1"/>
    <x v="3"/>
    <x v="3"/>
    <n v="20117"/>
    <n v="1143"/>
    <n v="713"/>
    <n v="1739"/>
    <n v="34444"/>
    <n v="198670"/>
    <s v="MacBook Air M3 Campaign"/>
    <n v="0.11060049328031409"/>
  </r>
  <r>
    <x v="235"/>
    <x v="1"/>
    <d v="2024-08-19T00:00:00"/>
    <x v="2"/>
    <x v="8"/>
    <x v="9"/>
    <n v="3605"/>
    <n v="206"/>
    <n v="921"/>
    <n v="852"/>
    <n v="11660"/>
    <n v="182635"/>
    <s v="iPhone 16 Launch"/>
    <n v="2.590960111698196E-2"/>
  </r>
  <r>
    <x v="236"/>
    <x v="3"/>
    <d v="2024-10-22T00:00:00"/>
    <x v="3"/>
    <x v="2"/>
    <x v="2"/>
    <n v="7622"/>
    <n v="529"/>
    <n v="720"/>
    <n v="1015"/>
    <n v="71322"/>
    <n v="86819"/>
    <s v="MacBook Air M3 Campaign"/>
    <n v="0.10217809465669957"/>
  </r>
  <r>
    <x v="237"/>
    <x v="3"/>
    <d v="2024-07-16T00:00:00"/>
    <x v="1"/>
    <x v="7"/>
    <x v="7"/>
    <n v="8767"/>
    <n v="974"/>
    <n v="733"/>
    <n v="1587"/>
    <n v="74927"/>
    <n v="113770"/>
    <s v="Apple Watch Ultra 2 Launch"/>
    <n v="9.2062933989628198E-2"/>
  </r>
  <r>
    <x v="238"/>
    <x v="0"/>
    <d v="2025-09-10T00:00:00"/>
    <x v="0"/>
    <x v="1"/>
    <x v="1"/>
    <n v="13613"/>
    <n v="350"/>
    <n v="809"/>
    <n v="2013"/>
    <n v="20471"/>
    <n v="198038"/>
    <s v="Apple Event September 2025"/>
    <n v="7.4591745018632791E-2"/>
  </r>
  <r>
    <x v="239"/>
    <x v="1"/>
    <d v="2025-09-11T00:00:00"/>
    <x v="2"/>
    <x v="5"/>
    <x v="5"/>
    <n v="21901"/>
    <n v="1308"/>
    <n v="724"/>
    <n v="2183"/>
    <n v="15996"/>
    <n v="230961"/>
    <s v="Apple Event September 2025"/>
    <n v="0.10362355549205277"/>
  </r>
  <r>
    <x v="240"/>
    <x v="3"/>
    <d v="2025-01-18T00:00:00"/>
    <x v="1"/>
    <x v="8"/>
    <x v="9"/>
    <n v="12589"/>
    <n v="346"/>
    <n v="459"/>
    <n v="1407"/>
    <n v="29254"/>
    <n v="198059"/>
    <s v="Sustainability Awareness Drive"/>
    <n v="6.7626313371268162E-2"/>
  </r>
  <r>
    <x v="241"/>
    <x v="0"/>
    <d v="2025-09-12T00:00:00"/>
    <x v="2"/>
    <x v="5"/>
    <x v="5"/>
    <n v="15918"/>
    <n v="1114"/>
    <n v="392"/>
    <n v="1641"/>
    <n v="28044"/>
    <n v="118714"/>
    <s v="Apple Event September 2025"/>
    <n v="0.14677291642097814"/>
  </r>
  <r>
    <x v="242"/>
    <x v="1"/>
    <d v="2025-03-06T00:00:00"/>
    <x v="1"/>
    <x v="7"/>
    <x v="7"/>
    <n v="22119"/>
    <n v="899"/>
    <n v="642"/>
    <n v="410"/>
    <n v="49490"/>
    <n v="229420"/>
    <s v="iPhone 16 Launch"/>
    <n v="0.10312963124400662"/>
  </r>
  <r>
    <x v="243"/>
    <x v="2"/>
    <d v="2025-09-13T00:00:00"/>
    <x v="2"/>
    <x v="8"/>
    <x v="9"/>
    <n v="15046"/>
    <n v="281"/>
    <n v="515"/>
    <n v="550"/>
    <n v="22583"/>
    <n v="64596"/>
    <s v="Apple Event September 2025"/>
    <n v="0.24524738373893121"/>
  </r>
  <r>
    <x v="244"/>
    <x v="0"/>
    <d v="2025-01-12T00:00:00"/>
    <x v="0"/>
    <x v="3"/>
    <x v="3"/>
    <n v="4590"/>
    <n v="713"/>
    <n v="479"/>
    <n v="2730"/>
    <n v="41050"/>
    <n v="204246"/>
    <s v="Sustainability Awareness Drive"/>
    <n v="2.8308999931455206E-2"/>
  </r>
  <r>
    <x v="245"/>
    <x v="3"/>
    <d v="2024-10-11T00:00:00"/>
    <x v="3"/>
    <x v="7"/>
    <x v="7"/>
    <n v="19447"/>
    <n v="1014"/>
    <n v="256"/>
    <n v="2354"/>
    <n v="5472"/>
    <n v="104106"/>
    <s v="Apple Watch Ultra 2 Launch"/>
    <n v="0.19899909707413599"/>
  </r>
  <r>
    <x v="246"/>
    <x v="2"/>
    <d v="2024-08-27T00:00:00"/>
    <x v="0"/>
    <x v="9"/>
    <x v="4"/>
    <n v="6324"/>
    <n v="908"/>
    <n v="375"/>
    <n v="758"/>
    <n v="34850"/>
    <n v="241039"/>
    <s v="Apple Watch Ultra 2 Launch"/>
    <n v="3.1559208260903839E-2"/>
  </r>
  <r>
    <x v="247"/>
    <x v="2"/>
    <d v="2025-09-14T00:00:00"/>
    <x v="3"/>
    <x v="3"/>
    <x v="8"/>
    <n v="12787"/>
    <n v="945"/>
    <n v="974"/>
    <n v="1407"/>
    <n v="4037"/>
    <n v="99182"/>
    <s v="Apple Event September 2025"/>
    <n v="0.14827287209372669"/>
  </r>
  <r>
    <x v="248"/>
    <x v="2"/>
    <d v="2024-07-18T00:00:00"/>
    <x v="2"/>
    <x v="9"/>
    <x v="4"/>
    <n v="11111"/>
    <n v="1222"/>
    <n v="367"/>
    <n v="507"/>
    <n v="14129"/>
    <n v="127163"/>
    <s v="MacBook Air M3 Campaign"/>
    <n v="9.9871818060284834E-2"/>
  </r>
  <r>
    <x v="249"/>
    <x v="0"/>
    <d v="2024-06-22T00:00:00"/>
    <x v="1"/>
    <x v="6"/>
    <x v="6"/>
    <n v="7342"/>
    <n v="906"/>
    <n v="902"/>
    <n v="1199"/>
    <n v="68488"/>
    <n v="79310"/>
    <s v="Apple Watch Ultra 2 Launch"/>
    <n v="0.1153700668263775"/>
  </r>
  <r>
    <x v="250"/>
    <x v="3"/>
    <d v="2025-09-15T00:00:00"/>
    <x v="0"/>
    <x v="5"/>
    <x v="5"/>
    <n v="18389"/>
    <n v="670"/>
    <n v="655"/>
    <n v="321"/>
    <n v="21869"/>
    <n v="96088"/>
    <s v="Apple Event September 2025"/>
    <n v="0.2051660977437349"/>
  </r>
  <r>
    <x v="251"/>
    <x v="2"/>
    <d v="2025-04-28T00:00:00"/>
    <x v="3"/>
    <x v="3"/>
    <x v="8"/>
    <n v="10659"/>
    <n v="1342"/>
    <n v="408"/>
    <n v="709"/>
    <n v="16309"/>
    <n v="168803"/>
    <s v="Sustainability Awareness Drive"/>
    <n v="7.3511726687321907E-2"/>
  </r>
  <r>
    <x v="252"/>
    <x v="1"/>
    <d v="2025-09-16T00:00:00"/>
    <x v="0"/>
    <x v="9"/>
    <x v="4"/>
    <n v="16043"/>
    <n v="595"/>
    <n v="923"/>
    <n v="1194"/>
    <n v="52613"/>
    <n v="179978"/>
    <s v="Apple Event September 2025"/>
    <n v="9.757303670448611E-2"/>
  </r>
  <r>
    <x v="253"/>
    <x v="2"/>
    <d v="2025-01-14T00:00:00"/>
    <x v="3"/>
    <x v="3"/>
    <x v="8"/>
    <n v="24350"/>
    <n v="460"/>
    <n v="666"/>
    <n v="814"/>
    <n v="21120"/>
    <n v="76914"/>
    <s v="Apple Watch Ultra 2 Launch"/>
    <n v="0.33122708479600593"/>
  </r>
  <r>
    <x v="254"/>
    <x v="2"/>
    <d v="2025-04-03T00:00:00"/>
    <x v="0"/>
    <x v="10"/>
    <x v="10"/>
    <n v="10837"/>
    <n v="1004"/>
    <n v="922"/>
    <n v="1108"/>
    <n v="36807"/>
    <n v="150350"/>
    <s v="Sustainability Awareness Drive"/>
    <n v="8.4888593282341204E-2"/>
  </r>
  <r>
    <x v="255"/>
    <x v="0"/>
    <d v="2025-09-17T00:00:00"/>
    <x v="3"/>
    <x v="5"/>
    <x v="5"/>
    <n v="2117"/>
    <n v="1133"/>
    <n v="203"/>
    <n v="1173"/>
    <n v="40125"/>
    <n v="85379"/>
    <s v="Apple Event September 2025"/>
    <n v="4.0443200318579509E-2"/>
  </r>
  <r>
    <x v="256"/>
    <x v="0"/>
    <d v="2025-04-06T00:00:00"/>
    <x v="3"/>
    <x v="3"/>
    <x v="8"/>
    <n v="15917"/>
    <n v="1479"/>
    <n v="196"/>
    <n v="313"/>
    <n v="48524"/>
    <n v="249684"/>
    <s v="iPhone 16 Launch"/>
    <n v="7.0457057720959296E-2"/>
  </r>
  <r>
    <x v="257"/>
    <x v="3"/>
    <d v="2024-08-05T00:00:00"/>
    <x v="2"/>
    <x v="0"/>
    <x v="0"/>
    <n v="20935"/>
    <n v="1104"/>
    <n v="876"/>
    <n v="1270"/>
    <n v="21454"/>
    <n v="208722"/>
    <s v="Sustainability Awareness Drive"/>
    <n v="0.10978718103506099"/>
  </r>
  <r>
    <x v="258"/>
    <x v="1"/>
    <d v="2025-02-10T00:00:00"/>
    <x v="3"/>
    <x v="1"/>
    <x v="1"/>
    <n v="16309"/>
    <n v="1449"/>
    <n v="838"/>
    <n v="2434"/>
    <n v="2940"/>
    <n v="217953"/>
    <s v="iPhone 16 Launch"/>
    <n v="8.5321147219813445E-2"/>
  </r>
  <r>
    <x v="259"/>
    <x v="0"/>
    <d v="2025-02-12T00:00:00"/>
    <x v="2"/>
    <x v="1"/>
    <x v="1"/>
    <n v="15234"/>
    <n v="1276"/>
    <n v="670"/>
    <n v="1860"/>
    <n v="60397"/>
    <n v="86413"/>
    <s v="MacBook Air M3 Campaign"/>
    <n v="0.19881267864788862"/>
  </r>
  <r>
    <x v="260"/>
    <x v="2"/>
    <d v="2024-10-27T00:00:00"/>
    <x v="3"/>
    <x v="0"/>
    <x v="0"/>
    <n v="7560"/>
    <n v="1139"/>
    <n v="248"/>
    <n v="1624"/>
    <n v="72237"/>
    <n v="177084"/>
    <s v="Sustainability Awareness Drive"/>
    <n v="5.0524045085947912E-2"/>
  </r>
  <r>
    <x v="261"/>
    <x v="3"/>
    <d v="2025-01-18T00:00:00"/>
    <x v="1"/>
    <x v="8"/>
    <x v="9"/>
    <n v="22673"/>
    <n v="1053"/>
    <n v="169"/>
    <n v="1566"/>
    <n v="9417"/>
    <n v="221187"/>
    <s v="iPhone 16 Launch"/>
    <n v="0.10803076130152314"/>
  </r>
  <r>
    <x v="262"/>
    <x v="2"/>
    <d v="2024-08-20T00:00:00"/>
    <x v="1"/>
    <x v="4"/>
    <x v="4"/>
    <n v="2846"/>
    <n v="792"/>
    <n v="902"/>
    <n v="2469"/>
    <n v="12130"/>
    <n v="47151"/>
    <s v="Apple Watch Ultra 2 Launch"/>
    <n v="9.6286399015927546E-2"/>
  </r>
  <r>
    <x v="263"/>
    <x v="2"/>
    <d v="2025-01-30T00:00:00"/>
    <x v="1"/>
    <x v="8"/>
    <x v="9"/>
    <n v="12954"/>
    <n v="913"/>
    <n v="722"/>
    <n v="1049"/>
    <n v="475"/>
    <n v="97716"/>
    <s v="Apple Watch Ultra 2 Launch"/>
    <n v="0.14930001228048631"/>
  </r>
  <r>
    <x v="264"/>
    <x v="0"/>
    <d v="2025-02-20T00:00:00"/>
    <x v="3"/>
    <x v="7"/>
    <x v="7"/>
    <n v="15703"/>
    <n v="1381"/>
    <n v="639"/>
    <n v="984"/>
    <n v="10967"/>
    <n v="133747"/>
    <s v="MacBook Air M3 Campaign"/>
    <n v="0.13251138343289942"/>
  </r>
  <r>
    <x v="265"/>
    <x v="3"/>
    <d v="2024-11-25T00:00:00"/>
    <x v="2"/>
    <x v="7"/>
    <x v="7"/>
    <n v="17385"/>
    <n v="831"/>
    <n v="568"/>
    <n v="2227"/>
    <n v="49351"/>
    <n v="207450"/>
    <s v="Sustainability Awareness Drive"/>
    <n v="9.0547119787900698E-2"/>
  </r>
  <r>
    <x v="266"/>
    <x v="1"/>
    <d v="2024-10-04T00:00:00"/>
    <x v="2"/>
    <x v="3"/>
    <x v="8"/>
    <n v="15746"/>
    <n v="258"/>
    <n v="839"/>
    <n v="2656"/>
    <n v="66614"/>
    <n v="213724"/>
    <s v="Sustainability Awareness Drive"/>
    <n v="7.8807246729426739E-2"/>
  </r>
  <r>
    <x v="267"/>
    <x v="1"/>
    <d v="2025-04-13T00:00:00"/>
    <x v="3"/>
    <x v="9"/>
    <x v="4"/>
    <n v="24700"/>
    <n v="327"/>
    <n v="999"/>
    <n v="994"/>
    <n v="59400"/>
    <n v="243502"/>
    <s v="Sustainability Awareness Drive"/>
    <n v="0.10688207899729776"/>
  </r>
  <r>
    <x v="268"/>
    <x v="0"/>
    <d v="2024-11-05T00:00:00"/>
    <x v="1"/>
    <x v="9"/>
    <x v="4"/>
    <n v="8469"/>
    <n v="935"/>
    <n v="211"/>
    <n v="2635"/>
    <n v="21890"/>
    <n v="184539"/>
    <s v="MacBook Air M3 Campaign"/>
    <n v="5.2102807536618279E-2"/>
  </r>
  <r>
    <x v="269"/>
    <x v="0"/>
    <d v="2025-01-15T00:00:00"/>
    <x v="1"/>
    <x v="1"/>
    <x v="1"/>
    <n v="11333"/>
    <n v="920"/>
    <n v="294"/>
    <n v="606"/>
    <n v="59490"/>
    <n v="202082"/>
    <s v="Sustainability Awareness Drive"/>
    <n v="6.2088657079799291E-2"/>
  </r>
  <r>
    <x v="270"/>
    <x v="3"/>
    <d v="2024-10-17T00:00:00"/>
    <x v="2"/>
    <x v="2"/>
    <x v="2"/>
    <n v="18608"/>
    <n v="1338"/>
    <n v="365"/>
    <n v="2289"/>
    <n v="20785"/>
    <n v="161999"/>
    <s v="Apple Watch Ultra 2 Launch"/>
    <n v="0.12537731714393299"/>
  </r>
  <r>
    <x v="271"/>
    <x v="1"/>
    <d v="2025-03-27T00:00:00"/>
    <x v="1"/>
    <x v="8"/>
    <x v="9"/>
    <n v="14819"/>
    <n v="1432"/>
    <n v="152"/>
    <n v="961"/>
    <n v="39154"/>
    <n v="154793"/>
    <s v="iPhone 16 Launch"/>
    <n v="0.10596732410380315"/>
  </r>
  <r>
    <x v="272"/>
    <x v="1"/>
    <d v="2024-10-12T00:00:00"/>
    <x v="0"/>
    <x v="10"/>
    <x v="10"/>
    <n v="6208"/>
    <n v="725"/>
    <n v="309"/>
    <n v="848"/>
    <n v="39319"/>
    <n v="225763"/>
    <s v="Apple Watch Ultra 2 Launch"/>
    <n v="3.207788698768177E-2"/>
  </r>
  <r>
    <x v="273"/>
    <x v="1"/>
    <d v="2025-01-01T00:00:00"/>
    <x v="2"/>
    <x v="5"/>
    <x v="5"/>
    <n v="8283"/>
    <n v="720"/>
    <n v="888"/>
    <n v="611"/>
    <n v="52791"/>
    <n v="235229"/>
    <s v="Apple Watch Ultra 2 Launch"/>
    <n v="4.2048386891072105E-2"/>
  </r>
  <r>
    <x v="274"/>
    <x v="2"/>
    <d v="2024-08-05T00:00:00"/>
    <x v="1"/>
    <x v="6"/>
    <x v="6"/>
    <n v="4048"/>
    <n v="751"/>
    <n v="930"/>
    <n v="1382"/>
    <n v="16844"/>
    <n v="148177"/>
    <s v="iPhone 16 Launch"/>
    <n v="3.8663220337839206E-2"/>
  </r>
  <r>
    <x v="275"/>
    <x v="1"/>
    <d v="2024-06-07T00:00:00"/>
    <x v="2"/>
    <x v="3"/>
    <x v="3"/>
    <n v="8233"/>
    <n v="436"/>
    <n v="269"/>
    <n v="2037"/>
    <n v="8875"/>
    <n v="52289"/>
    <s v="Apple Watch Ultra 2 Launch"/>
    <n v="0.17093461339861157"/>
  </r>
  <r>
    <x v="276"/>
    <x v="2"/>
    <d v="2025-04-06T00:00:00"/>
    <x v="0"/>
    <x v="9"/>
    <x v="4"/>
    <n v="14941"/>
    <n v="1424"/>
    <n v="238"/>
    <n v="1054"/>
    <n v="20516"/>
    <n v="216048"/>
    <s v="MacBook Air M3 Campaign"/>
    <n v="7.6848663260016298E-2"/>
  </r>
  <r>
    <x v="277"/>
    <x v="3"/>
    <d v="2024-11-26T00:00:00"/>
    <x v="2"/>
    <x v="5"/>
    <x v="5"/>
    <n v="14607"/>
    <n v="1458"/>
    <n v="478"/>
    <n v="334"/>
    <n v="49257"/>
    <n v="214668"/>
    <s v="iPhone 16 Launch"/>
    <n v="7.7063185942944451E-2"/>
  </r>
  <r>
    <x v="278"/>
    <x v="2"/>
    <d v="2024-09-02T00:00:00"/>
    <x v="2"/>
    <x v="3"/>
    <x v="3"/>
    <n v="11765"/>
    <n v="693"/>
    <n v="729"/>
    <n v="744"/>
    <n v="97772"/>
    <n v="194243"/>
    <s v="Apple Watch Ultra 2 Launch"/>
    <n v="6.7889190344053579E-2"/>
  </r>
  <r>
    <x v="279"/>
    <x v="3"/>
    <d v="2025-09-18T00:00:00"/>
    <x v="2"/>
    <x v="5"/>
    <x v="5"/>
    <n v="3828"/>
    <n v="203"/>
    <n v="506"/>
    <n v="2440"/>
    <n v="63650"/>
    <n v="126365"/>
    <s v="Apple Event September 2025"/>
    <n v="3.5903929094290347E-2"/>
  </r>
  <r>
    <x v="280"/>
    <x v="1"/>
    <d v="2025-03-22T00:00:00"/>
    <x v="2"/>
    <x v="3"/>
    <x v="8"/>
    <n v="3917"/>
    <n v="865"/>
    <n v="759"/>
    <n v="2282"/>
    <n v="56125"/>
    <n v="154014"/>
    <s v="Apple Watch Ultra 2 Launch"/>
    <n v="3.5977248821535704E-2"/>
  </r>
  <r>
    <x v="281"/>
    <x v="1"/>
    <d v="2024-10-03T00:00:00"/>
    <x v="0"/>
    <x v="3"/>
    <x v="3"/>
    <n v="22618"/>
    <n v="641"/>
    <n v="416"/>
    <n v="1530"/>
    <n v="18395"/>
    <n v="215211"/>
    <s v="MacBook Air M3 Campaign"/>
    <n v="0.1100083174187193"/>
  </r>
  <r>
    <x v="282"/>
    <x v="3"/>
    <d v="2025-05-09T00:00:00"/>
    <x v="3"/>
    <x v="6"/>
    <x v="6"/>
    <n v="8988"/>
    <n v="228"/>
    <n v="766"/>
    <n v="652"/>
    <n v="63789"/>
    <n v="219785"/>
    <s v="Sustainability Awareness Drive"/>
    <n v="4.541711217781013E-2"/>
  </r>
  <r>
    <x v="283"/>
    <x v="0"/>
    <d v="2024-09-17T00:00:00"/>
    <x v="2"/>
    <x v="5"/>
    <x v="5"/>
    <n v="20410"/>
    <n v="1332"/>
    <n v="472"/>
    <n v="1202"/>
    <n v="9418"/>
    <n v="200806"/>
    <s v="Apple Watch Ultra 2 Launch"/>
    <n v="0.11062418453631864"/>
  </r>
  <r>
    <x v="284"/>
    <x v="3"/>
    <d v="2024-07-18T00:00:00"/>
    <x v="2"/>
    <x v="0"/>
    <x v="0"/>
    <n v="16594"/>
    <n v="809"/>
    <n v="784"/>
    <n v="1655"/>
    <n v="35505"/>
    <n v="112588"/>
    <s v="Sustainability Awareness Drive"/>
    <n v="0.16153586527871533"/>
  </r>
  <r>
    <x v="285"/>
    <x v="0"/>
    <d v="2025-09-19T00:00:00"/>
    <x v="1"/>
    <x v="6"/>
    <x v="6"/>
    <n v="22128"/>
    <n v="1004"/>
    <n v="690"/>
    <n v="2048"/>
    <n v="19443"/>
    <n v="103646"/>
    <s v="Apple Event September 2025"/>
    <n v="0.22984003241803833"/>
  </r>
  <r>
    <x v="286"/>
    <x v="2"/>
    <d v="2024-08-15T00:00:00"/>
    <x v="2"/>
    <x v="3"/>
    <x v="3"/>
    <n v="14977"/>
    <n v="274"/>
    <n v="798"/>
    <n v="458"/>
    <n v="6636"/>
    <n v="43654"/>
    <s v="Apple Watch Ultra 2 Launch"/>
    <n v="0.36764099509781462"/>
  </r>
  <r>
    <x v="287"/>
    <x v="2"/>
    <d v="2025-04-17T00:00:00"/>
    <x v="1"/>
    <x v="6"/>
    <x v="6"/>
    <n v="2009"/>
    <n v="1037"/>
    <n v="344"/>
    <n v="2277"/>
    <n v="85743"/>
    <n v="58743"/>
    <s v="iPhone 16 Launch"/>
    <n v="5.7709003625963942E-2"/>
  </r>
  <r>
    <x v="288"/>
    <x v="2"/>
    <d v="2024-11-28T00:00:00"/>
    <x v="3"/>
    <x v="5"/>
    <x v="5"/>
    <n v="18644"/>
    <n v="1369"/>
    <n v="887"/>
    <n v="1256"/>
    <n v="43415"/>
    <n v="88368"/>
    <s v="Sustainability Awareness Drive"/>
    <n v="0.23651095419156257"/>
  </r>
  <r>
    <x v="289"/>
    <x v="1"/>
    <d v="2025-09-20T00:00:00"/>
    <x v="0"/>
    <x v="4"/>
    <x v="4"/>
    <n v="24422"/>
    <n v="327"/>
    <n v="481"/>
    <n v="2371"/>
    <n v="35340"/>
    <n v="245244"/>
    <s v="Apple Event September 2025"/>
    <n v="0.10287713460879777"/>
  </r>
  <r>
    <x v="290"/>
    <x v="2"/>
    <d v="2024-11-06T00:00:00"/>
    <x v="0"/>
    <x v="5"/>
    <x v="5"/>
    <n v="11865"/>
    <n v="241"/>
    <n v="319"/>
    <n v="703"/>
    <n v="69596"/>
    <n v="177513"/>
    <s v="iPhone 16 Launch"/>
    <n v="6.999487361489018E-2"/>
  </r>
  <r>
    <x v="291"/>
    <x v="0"/>
    <d v="2024-11-17T00:00:00"/>
    <x v="3"/>
    <x v="5"/>
    <x v="5"/>
    <n v="4219"/>
    <n v="240"/>
    <n v="670"/>
    <n v="815"/>
    <n v="11978"/>
    <n v="159735"/>
    <s v="iPhone 16 Launch"/>
    <n v="3.2109431245500357E-2"/>
  </r>
  <r>
    <x v="292"/>
    <x v="2"/>
    <d v="2025-05-14T00:00:00"/>
    <x v="0"/>
    <x v="3"/>
    <x v="8"/>
    <n v="9041"/>
    <n v="1133"/>
    <n v="612"/>
    <n v="1687"/>
    <n v="28102"/>
    <n v="195683"/>
    <s v="iPhone 16 Launch"/>
    <n v="5.5119760020032396E-2"/>
  </r>
  <r>
    <x v="293"/>
    <x v="3"/>
    <d v="2024-06-19T00:00:00"/>
    <x v="3"/>
    <x v="8"/>
    <x v="9"/>
    <n v="20444"/>
    <n v="233"/>
    <n v="189"/>
    <n v="2879"/>
    <n v="28185"/>
    <n v="159891"/>
    <s v="iPhone 16 Launch"/>
    <n v="0.13050140408153055"/>
  </r>
  <r>
    <x v="294"/>
    <x v="3"/>
    <d v="2025-05-06T00:00:00"/>
    <x v="3"/>
    <x v="0"/>
    <x v="0"/>
    <n v="7287"/>
    <n v="1240"/>
    <n v="686"/>
    <n v="1255"/>
    <n v="15403"/>
    <n v="147971"/>
    <s v="Apple Watch Ultra 2 Launch"/>
    <n v="6.2262200025680704E-2"/>
  </r>
  <r>
    <x v="295"/>
    <x v="1"/>
    <d v="2025-02-11T00:00:00"/>
    <x v="3"/>
    <x v="10"/>
    <x v="10"/>
    <n v="3619"/>
    <n v="1376"/>
    <n v="410"/>
    <n v="2499"/>
    <n v="58146"/>
    <n v="52149"/>
    <s v="Apple Watch Ultra 2 Launch"/>
    <n v="0.10364532397553165"/>
  </r>
  <r>
    <x v="296"/>
    <x v="3"/>
    <d v="2024-12-24T00:00:00"/>
    <x v="0"/>
    <x v="9"/>
    <x v="4"/>
    <n v="10512"/>
    <n v="1197"/>
    <n v="544"/>
    <n v="2012"/>
    <n v="10245"/>
    <n v="140102"/>
    <s v="Apple Watch Ultra 2 Launch"/>
    <n v="8.745770938316369E-2"/>
  </r>
  <r>
    <x v="297"/>
    <x v="0"/>
    <d v="2025-09-24T00:00:00"/>
    <x v="1"/>
    <x v="7"/>
    <x v="7"/>
    <n v="3342"/>
    <n v="787"/>
    <n v="375"/>
    <n v="907"/>
    <n v="85823"/>
    <n v="99189"/>
    <s v="Apple Event September 2025"/>
    <n v="4.5408260996683103E-2"/>
  </r>
  <r>
    <x v="298"/>
    <x v="2"/>
    <d v="2025-09-25T00:00:00"/>
    <x v="3"/>
    <x v="8"/>
    <x v="9"/>
    <n v="12568"/>
    <n v="541"/>
    <n v="273"/>
    <n v="2767"/>
    <n v="22331"/>
    <n v="192747"/>
    <s v="Apple Event September 2025"/>
    <n v="6.9427799135654514E-2"/>
  </r>
  <r>
    <x v="299"/>
    <x v="1"/>
    <d v="2025-09-26T00:00:00"/>
    <x v="2"/>
    <x v="7"/>
    <x v="7"/>
    <n v="21216"/>
    <n v="226"/>
    <n v="187"/>
    <n v="1573"/>
    <n v="62688"/>
    <n v="111031"/>
    <s v="Apple Event September 2025"/>
    <n v="0.1948014518467815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1">
  <r>
    <x v="0"/>
    <n v="1519"/>
  </r>
  <r>
    <x v="1"/>
    <n v="1995"/>
  </r>
  <r>
    <x v="2"/>
    <n v="1398"/>
  </r>
  <r>
    <x v="3"/>
    <n v="320"/>
  </r>
  <r>
    <x v="0"/>
    <n v="1624"/>
  </r>
  <r>
    <x v="3"/>
    <n v="2010"/>
  </r>
  <r>
    <x v="3"/>
    <n v="458"/>
  </r>
  <r>
    <x v="4"/>
    <n v="1628"/>
  </r>
  <r>
    <x v="0"/>
    <n v="934"/>
  </r>
  <r>
    <x v="5"/>
    <n v="1689"/>
  </r>
  <r>
    <x v="4"/>
    <n v="1330"/>
  </r>
  <r>
    <x v="2"/>
    <n v="416"/>
  </r>
  <r>
    <x v="3"/>
    <n v="814"/>
  </r>
  <r>
    <x v="6"/>
    <n v="405"/>
  </r>
  <r>
    <x v="5"/>
    <n v="2553"/>
  </r>
  <r>
    <x v="7"/>
    <n v="890"/>
  </r>
  <r>
    <x v="0"/>
    <n v="1091"/>
  </r>
  <r>
    <x v="1"/>
    <n v="2187"/>
  </r>
  <r>
    <x v="7"/>
    <n v="513"/>
  </r>
  <r>
    <x v="6"/>
    <n v="1233"/>
  </r>
  <r>
    <x v="2"/>
    <n v="1213"/>
  </r>
  <r>
    <x v="2"/>
    <n v="1288"/>
  </r>
  <r>
    <x v="8"/>
    <n v="819"/>
  </r>
  <r>
    <x v="5"/>
    <n v="2009"/>
  </r>
  <r>
    <x v="8"/>
    <n v="2387"/>
  </r>
  <r>
    <x v="8"/>
    <n v="550"/>
  </r>
  <r>
    <x v="1"/>
    <n v="871"/>
  </r>
  <r>
    <x v="2"/>
    <n v="2463"/>
  </r>
  <r>
    <x v="4"/>
    <n v="888"/>
  </r>
  <r>
    <x v="1"/>
    <n v="753"/>
  </r>
  <r>
    <x v="0"/>
    <n v="1256"/>
  </r>
  <r>
    <x v="6"/>
    <n v="906"/>
  </r>
  <r>
    <x v="7"/>
    <n v="2364"/>
  </r>
  <r>
    <x v="4"/>
    <n v="2048"/>
  </r>
  <r>
    <x v="9"/>
    <n v="2807"/>
  </r>
  <r>
    <x v="10"/>
    <n v="1186"/>
  </r>
  <r>
    <x v="8"/>
    <n v="2001"/>
  </r>
  <r>
    <x v="3"/>
    <n v="725"/>
  </r>
  <r>
    <x v="10"/>
    <n v="465"/>
  </r>
  <r>
    <x v="0"/>
    <n v="1624"/>
  </r>
  <r>
    <x v="0"/>
    <n v="321"/>
  </r>
  <r>
    <x v="3"/>
    <n v="1293"/>
  </r>
  <r>
    <x v="3"/>
    <n v="856"/>
  </r>
  <r>
    <x v="9"/>
    <n v="2354"/>
  </r>
  <r>
    <x v="5"/>
    <n v="1860"/>
  </r>
  <r>
    <x v="9"/>
    <n v="321"/>
  </r>
  <r>
    <x v="2"/>
    <n v="826"/>
  </r>
  <r>
    <x v="9"/>
    <n v="1573"/>
  </r>
  <r>
    <x v="5"/>
    <n v="1649"/>
  </r>
  <r>
    <x v="4"/>
    <n v="1288"/>
  </r>
  <r>
    <x v="3"/>
    <n v="1168"/>
  </r>
  <r>
    <x v="10"/>
    <n v="1003"/>
  </r>
  <r>
    <x v="9"/>
    <n v="2710"/>
  </r>
  <r>
    <x v="10"/>
    <n v="1350"/>
  </r>
  <r>
    <x v="1"/>
    <n v="2286"/>
  </r>
  <r>
    <x v="9"/>
    <n v="1284"/>
  </r>
  <r>
    <x v="3"/>
    <n v="1092"/>
  </r>
  <r>
    <x v="3"/>
    <n v="2072"/>
  </r>
  <r>
    <x v="2"/>
    <n v="1862"/>
  </r>
  <r>
    <x v="0"/>
    <n v="2748"/>
  </r>
  <r>
    <x v="8"/>
    <n v="1354"/>
  </r>
  <r>
    <x v="3"/>
    <n v="2037"/>
  </r>
  <r>
    <x v="8"/>
    <n v="992"/>
  </r>
  <r>
    <x v="5"/>
    <n v="1259"/>
  </r>
  <r>
    <x v="10"/>
    <n v="891"/>
  </r>
  <r>
    <x v="2"/>
    <n v="1547"/>
  </r>
  <r>
    <x v="0"/>
    <n v="2469"/>
  </r>
  <r>
    <x v="2"/>
    <n v="1655"/>
  </r>
  <r>
    <x v="3"/>
    <n v="659"/>
  </r>
  <r>
    <x v="6"/>
    <n v="1735"/>
  </r>
  <r>
    <x v="1"/>
    <n v="2358"/>
  </r>
  <r>
    <x v="0"/>
    <n v="2703"/>
  </r>
  <r>
    <x v="5"/>
    <n v="2276"/>
  </r>
  <r>
    <x v="4"/>
    <n v="2354"/>
  </r>
  <r>
    <x v="9"/>
    <n v="2682"/>
  </r>
  <r>
    <x v="8"/>
    <n v="1049"/>
  </r>
  <r>
    <x v="4"/>
    <n v="1206"/>
  </r>
  <r>
    <x v="3"/>
    <n v="1407"/>
  </r>
  <r>
    <x v="6"/>
    <n v="2728"/>
  </r>
  <r>
    <x v="0"/>
    <n v="1641"/>
  </r>
  <r>
    <x v="2"/>
    <n v="2546"/>
  </r>
  <r>
    <x v="4"/>
    <n v="2225"/>
  </r>
  <r>
    <x v="10"/>
    <n v="1186"/>
  </r>
  <r>
    <x v="4"/>
    <n v="1307"/>
  </r>
  <r>
    <x v="4"/>
    <n v="1633"/>
  </r>
  <r>
    <x v="3"/>
    <n v="637"/>
  </r>
  <r>
    <x v="5"/>
    <n v="1340"/>
  </r>
  <r>
    <x v="0"/>
    <n v="999"/>
  </r>
  <r>
    <x v="5"/>
    <n v="2063"/>
  </r>
  <r>
    <x v="4"/>
    <n v="1556"/>
  </r>
  <r>
    <x v="9"/>
    <n v="2777"/>
  </r>
  <r>
    <x v="3"/>
    <n v="1556"/>
  </r>
  <r>
    <x v="9"/>
    <n v="984"/>
  </r>
  <r>
    <x v="0"/>
    <n v="336"/>
  </r>
  <r>
    <x v="1"/>
    <n v="1015"/>
  </r>
  <r>
    <x v="8"/>
    <n v="2879"/>
  </r>
  <r>
    <x v="2"/>
    <n v="2675"/>
  </r>
  <r>
    <x v="5"/>
    <n v="783"/>
  </r>
  <r>
    <x v="3"/>
    <n v="1847"/>
  </r>
  <r>
    <x v="6"/>
    <n v="2155"/>
  </r>
  <r>
    <x v="0"/>
    <n v="1715"/>
  </r>
  <r>
    <x v="9"/>
    <n v="869"/>
  </r>
  <r>
    <x v="3"/>
    <n v="2439"/>
  </r>
  <r>
    <x v="9"/>
    <n v="1612"/>
  </r>
  <r>
    <x v="6"/>
    <n v="2289"/>
  </r>
  <r>
    <x v="9"/>
    <n v="1982"/>
  </r>
  <r>
    <x v="7"/>
    <n v="655"/>
  </r>
  <r>
    <x v="8"/>
    <n v="2555"/>
  </r>
  <r>
    <x v="8"/>
    <n v="648"/>
  </r>
  <r>
    <x v="4"/>
    <n v="2426"/>
  </r>
  <r>
    <x v="2"/>
    <n v="1217"/>
  </r>
  <r>
    <x v="4"/>
    <n v="974"/>
  </r>
  <r>
    <x v="6"/>
    <n v="2294"/>
  </r>
  <r>
    <x v="0"/>
    <n v="2570"/>
  </r>
  <r>
    <x v="3"/>
    <n v="328"/>
  </r>
  <r>
    <x v="2"/>
    <n v="999"/>
  </r>
  <r>
    <x v="1"/>
    <n v="1409"/>
  </r>
  <r>
    <x v="4"/>
    <n v="1199"/>
  </r>
  <r>
    <x v="3"/>
    <n v="2557"/>
  </r>
  <r>
    <x v="6"/>
    <n v="2839"/>
  </r>
  <r>
    <x v="0"/>
    <n v="986"/>
  </r>
  <r>
    <x v="6"/>
    <n v="1859"/>
  </r>
  <r>
    <x v="9"/>
    <n v="2683"/>
  </r>
  <r>
    <x v="8"/>
    <n v="2650"/>
  </r>
  <r>
    <x v="0"/>
    <n v="2263"/>
  </r>
  <r>
    <x v="9"/>
    <n v="1078"/>
  </r>
  <r>
    <x v="3"/>
    <n v="885"/>
  </r>
  <r>
    <x v="5"/>
    <n v="1185"/>
  </r>
  <r>
    <x v="4"/>
    <n v="727"/>
  </r>
  <r>
    <x v="3"/>
    <n v="1891"/>
  </r>
  <r>
    <x v="6"/>
    <n v="1499"/>
  </r>
  <r>
    <x v="8"/>
    <n v="1383"/>
  </r>
  <r>
    <x v="0"/>
    <n v="1202"/>
  </r>
  <r>
    <x v="3"/>
    <n v="1739"/>
  </r>
  <r>
    <x v="3"/>
    <n v="1530"/>
  </r>
  <r>
    <x v="2"/>
    <n v="1270"/>
  </r>
  <r>
    <x v="5"/>
    <n v="2009"/>
  </r>
  <r>
    <x v="9"/>
    <n v="2904"/>
  </r>
  <r>
    <x v="4"/>
    <n v="1643"/>
  </r>
  <r>
    <x v="4"/>
    <n v="2312"/>
  </r>
  <r>
    <x v="4"/>
    <n v="2748"/>
  </r>
  <r>
    <x v="8"/>
    <n v="1566"/>
  </r>
  <r>
    <x v="7"/>
    <n v="994"/>
  </r>
  <r>
    <x v="4"/>
    <n v="371"/>
  </r>
  <r>
    <x v="6"/>
    <n v="2249"/>
  </r>
  <r>
    <x v="8"/>
    <n v="961"/>
  </r>
  <r>
    <x v="3"/>
    <n v="1876"/>
  </r>
  <r>
    <x v="10"/>
    <n v="2499"/>
  </r>
  <r>
    <x v="0"/>
    <n v="2183"/>
  </r>
  <r>
    <x v="9"/>
    <n v="410"/>
  </r>
  <r>
    <x v="1"/>
    <n v="2371"/>
  </r>
  <r>
    <x v="6"/>
    <n v="1015"/>
  </r>
  <r>
    <x v="3"/>
    <n v="1559"/>
  </r>
  <r>
    <x v="8"/>
    <n v="2123"/>
  </r>
  <r>
    <x v="7"/>
    <n v="507"/>
  </r>
  <r>
    <x v="4"/>
    <n v="2802"/>
  </r>
  <r>
    <x v="9"/>
    <n v="1272"/>
  </r>
  <r>
    <x v="5"/>
    <n v="1247"/>
  </r>
  <r>
    <x v="1"/>
    <n v="338"/>
  </r>
  <r>
    <x v="7"/>
    <n v="1194"/>
  </r>
  <r>
    <x v="6"/>
    <n v="1037"/>
  </r>
  <r>
    <x v="5"/>
    <n v="2251"/>
  </r>
  <r>
    <x v="1"/>
    <n v="2469"/>
  </r>
  <r>
    <x v="3"/>
    <n v="1493"/>
  </r>
  <r>
    <x v="4"/>
    <n v="515"/>
  </r>
  <r>
    <x v="9"/>
    <n v="1587"/>
  </r>
  <r>
    <x v="9"/>
    <n v="1547"/>
  </r>
  <r>
    <x v="9"/>
    <n v="2227"/>
  </r>
  <r>
    <x v="3"/>
    <n v="1387"/>
  </r>
  <r>
    <x v="5"/>
    <n v="1574"/>
  </r>
  <r>
    <x v="9"/>
    <n v="1030"/>
  </r>
  <r>
    <x v="3"/>
    <n v="1848"/>
  </r>
  <r>
    <x v="7"/>
    <n v="2012"/>
  </r>
  <r>
    <x v="3"/>
    <n v="2280"/>
  </r>
  <r>
    <x v="7"/>
    <n v="2700"/>
  </r>
  <r>
    <x v="6"/>
    <n v="2016"/>
  </r>
  <r>
    <x v="1"/>
    <n v="747"/>
  </r>
  <r>
    <x v="2"/>
    <n v="2285"/>
  </r>
  <r>
    <x v="5"/>
    <n v="2434"/>
  </r>
  <r>
    <x v="4"/>
    <n v="1585"/>
  </r>
  <r>
    <x v="9"/>
    <n v="2068"/>
  </r>
  <r>
    <x v="10"/>
    <n v="1108"/>
  </r>
  <r>
    <x v="4"/>
    <n v="2011"/>
  </r>
  <r>
    <x v="8"/>
    <n v="2936"/>
  </r>
  <r>
    <x v="3"/>
    <n v="2744"/>
  </r>
  <r>
    <x v="6"/>
    <n v="1667"/>
  </r>
  <r>
    <x v="3"/>
    <n v="2733"/>
  </r>
  <r>
    <x v="2"/>
    <n v="2572"/>
  </r>
  <r>
    <x v="10"/>
    <n v="1313"/>
  </r>
  <r>
    <x v="8"/>
    <n v="1028"/>
  </r>
  <r>
    <x v="5"/>
    <n v="2195"/>
  </r>
  <r>
    <x v="3"/>
    <n v="2656"/>
  </r>
  <r>
    <x v="4"/>
    <n v="1436"/>
  </r>
  <r>
    <x v="8"/>
    <n v="1273"/>
  </r>
  <r>
    <x v="5"/>
    <n v="1062"/>
  </r>
  <r>
    <x v="0"/>
    <n v="334"/>
  </r>
  <r>
    <x v="3"/>
    <n v="892"/>
  </r>
  <r>
    <x v="7"/>
    <n v="1054"/>
  </r>
  <r>
    <x v="4"/>
    <n v="2300"/>
  </r>
  <r>
    <x v="5"/>
    <n v="2306"/>
  </r>
  <r>
    <x v="7"/>
    <n v="301"/>
  </r>
  <r>
    <x v="2"/>
    <n v="2356"/>
  </r>
  <r>
    <x v="5"/>
    <n v="2013"/>
  </r>
  <r>
    <x v="3"/>
    <n v="2462"/>
  </r>
  <r>
    <x v="3"/>
    <n v="709"/>
  </r>
  <r>
    <x v="3"/>
    <n v="541"/>
  </r>
  <r>
    <x v="4"/>
    <n v="1646"/>
  </r>
  <r>
    <x v="5"/>
    <n v="616"/>
  </r>
  <r>
    <x v="10"/>
    <n v="2871"/>
  </r>
  <r>
    <x v="8"/>
    <n v="883"/>
  </r>
  <r>
    <x v="4"/>
    <n v="2343"/>
  </r>
  <r>
    <x v="2"/>
    <n v="815"/>
  </r>
  <r>
    <x v="3"/>
    <n v="313"/>
  </r>
  <r>
    <x v="0"/>
    <n v="703"/>
  </r>
  <r>
    <x v="8"/>
    <n v="2767"/>
  </r>
  <r>
    <x v="0"/>
    <n v="2882"/>
  </r>
  <r>
    <x v="6"/>
    <n v="490"/>
  </r>
  <r>
    <x v="0"/>
    <n v="677"/>
  </r>
  <r>
    <x v="3"/>
    <n v="744"/>
  </r>
  <r>
    <x v="8"/>
    <n v="1407"/>
  </r>
  <r>
    <x v="1"/>
    <n v="869"/>
  </r>
  <r>
    <x v="0"/>
    <n v="584"/>
  </r>
  <r>
    <x v="7"/>
    <n v="442"/>
  </r>
  <r>
    <x v="6"/>
    <n v="594"/>
  </r>
  <r>
    <x v="7"/>
    <n v="2541"/>
  </r>
  <r>
    <x v="9"/>
    <n v="2335"/>
  </r>
  <r>
    <x v="9"/>
    <n v="2343"/>
  </r>
  <r>
    <x v="2"/>
    <n v="1980"/>
  </r>
  <r>
    <x v="2"/>
    <n v="1255"/>
  </r>
  <r>
    <x v="0"/>
    <n v="1565"/>
  </r>
  <r>
    <x v="0"/>
    <n v="2734"/>
  </r>
  <r>
    <x v="5"/>
    <n v="606"/>
  </r>
  <r>
    <x v="0"/>
    <n v="820"/>
  </r>
  <r>
    <x v="3"/>
    <n v="577"/>
  </r>
  <r>
    <x v="2"/>
    <n v="1874"/>
  </r>
  <r>
    <x v="6"/>
    <n v="617"/>
  </r>
  <r>
    <x v="4"/>
    <n v="2277"/>
  </r>
  <r>
    <x v="3"/>
    <n v="662"/>
  </r>
  <r>
    <x v="2"/>
    <n v="1710"/>
  </r>
  <r>
    <x v="1"/>
    <n v="2439"/>
  </r>
  <r>
    <x v="4"/>
    <n v="2653"/>
  </r>
  <r>
    <x v="9"/>
    <n v="2539"/>
  </r>
  <r>
    <x v="3"/>
    <n v="2429"/>
  </r>
  <r>
    <x v="6"/>
    <n v="2189"/>
  </r>
  <r>
    <x v="1"/>
    <n v="1550"/>
  </r>
  <r>
    <x v="4"/>
    <n v="2814"/>
  </r>
  <r>
    <x v="3"/>
    <n v="2504"/>
  </r>
  <r>
    <x v="3"/>
    <n v="1687"/>
  </r>
  <r>
    <x v="8"/>
    <n v="1753"/>
  </r>
  <r>
    <x v="6"/>
    <n v="1411"/>
  </r>
  <r>
    <x v="9"/>
    <n v="773"/>
  </r>
  <r>
    <x v="8"/>
    <n v="2918"/>
  </r>
  <r>
    <x v="5"/>
    <n v="1437"/>
  </r>
  <r>
    <x v="7"/>
    <n v="2635"/>
  </r>
  <r>
    <x v="5"/>
    <n v="1095"/>
  </r>
  <r>
    <x v="3"/>
    <n v="2004"/>
  </r>
  <r>
    <x v="0"/>
    <n v="2296"/>
  </r>
  <r>
    <x v="8"/>
    <n v="2935"/>
  </r>
  <r>
    <x v="2"/>
    <n v="1624"/>
  </r>
  <r>
    <x v="0"/>
    <n v="389"/>
  </r>
  <r>
    <x v="2"/>
    <n v="1316"/>
  </r>
  <r>
    <x v="2"/>
    <n v="2712"/>
  </r>
  <r>
    <x v="5"/>
    <n v="383"/>
  </r>
  <r>
    <x v="4"/>
    <n v="2696"/>
  </r>
  <r>
    <x v="6"/>
    <n v="1990"/>
  </r>
  <r>
    <x v="5"/>
    <n v="1907"/>
  </r>
  <r>
    <x v="4"/>
    <n v="652"/>
  </r>
  <r>
    <x v="9"/>
    <n v="907"/>
  </r>
  <r>
    <x v="3"/>
    <n v="1217"/>
  </r>
  <r>
    <x v="1"/>
    <n v="1830"/>
  </r>
  <r>
    <x v="5"/>
    <n v="2769"/>
  </r>
  <r>
    <x v="9"/>
    <n v="2761"/>
  </r>
  <r>
    <x v="6"/>
    <n v="1594"/>
  </r>
  <r>
    <x v="7"/>
    <n v="1235"/>
  </r>
  <r>
    <x v="0"/>
    <n v="611"/>
  </r>
  <r>
    <x v="3"/>
    <n v="1013"/>
  </r>
  <r>
    <x v="0"/>
    <n v="1173"/>
  </r>
  <r>
    <x v="6"/>
    <n v="2313"/>
  </r>
  <r>
    <x v="10"/>
    <n v="2384"/>
  </r>
  <r>
    <x v="4"/>
    <n v="2571"/>
  </r>
  <r>
    <x v="4"/>
    <n v="1382"/>
  </r>
  <r>
    <x v="9"/>
    <n v="2109"/>
  </r>
  <r>
    <x v="7"/>
    <n v="1125"/>
  </r>
  <r>
    <x v="3"/>
    <n v="2282"/>
  </r>
  <r>
    <x v="0"/>
    <n v="2440"/>
  </r>
  <r>
    <x v="6"/>
    <n v="694"/>
  </r>
  <r>
    <x v="4"/>
    <n v="573"/>
  </r>
  <r>
    <x v="4"/>
    <n v="2806"/>
  </r>
  <r>
    <x v="0"/>
    <n v="815"/>
  </r>
  <r>
    <x v="10"/>
    <n v="848"/>
  </r>
  <r>
    <x v="7"/>
    <n v="758"/>
  </r>
  <r>
    <x v="3"/>
    <n v="2848"/>
  </r>
  <r>
    <x v="4"/>
    <n v="401"/>
  </r>
  <r>
    <x v="3"/>
    <n v="2730"/>
  </r>
  <r>
    <x v="8"/>
    <n v="852"/>
  </r>
  <r>
    <x v="5"/>
    <n v="2480"/>
  </r>
  <r>
    <x v="0"/>
    <n v="1545"/>
  </r>
  <r>
    <x v="10"/>
    <n v="1867"/>
  </r>
  <r>
    <x v="3"/>
    <n v="1925"/>
  </r>
  <r>
    <x v="3"/>
    <n v="2175"/>
  </r>
  <r>
    <x v="11"/>
    <n v="151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0F3EAAF-B5C4-403F-ACED-52DC1D02DA29}"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8:H29" firstHeaderRow="0" firstDataRow="1" firstDataCol="1"/>
  <pivotFields count="14">
    <pivotField showAll="0"/>
    <pivotField axis="axisRow" showAll="0">
      <items count="5">
        <item x="2"/>
        <item x="1"/>
        <item x="3"/>
        <item x="0"/>
        <item t="default"/>
      </items>
    </pivotField>
    <pivotField numFmtId="14" showAll="0"/>
    <pivotField axis="axisRow" showAll="0">
      <items count="5">
        <item x="3"/>
        <item x="0"/>
        <item x="1"/>
        <item x="2"/>
        <item t="default"/>
      </items>
    </pivotField>
    <pivotField showAll="0"/>
    <pivotField showAll="0"/>
    <pivotField dataField="1" numFmtId="1" showAll="0"/>
    <pivotField dataField="1" numFmtId="1" showAll="0"/>
    <pivotField dataField="1" numFmtId="1" showAll="0"/>
    <pivotField numFmtId="1" showAll="0"/>
    <pivotField numFmtId="1" showAll="0"/>
    <pivotField numFmtId="1" showAll="0"/>
    <pivotField showAll="0"/>
    <pivotField numFmtId="10" showAll="0"/>
  </pivotFields>
  <rowFields count="2">
    <field x="3"/>
    <field x="1"/>
  </rowFields>
  <rowItems count="21">
    <i>
      <x/>
    </i>
    <i r="1">
      <x/>
    </i>
    <i r="1">
      <x v="1"/>
    </i>
    <i r="1">
      <x v="2"/>
    </i>
    <i r="1">
      <x v="3"/>
    </i>
    <i>
      <x v="1"/>
    </i>
    <i r="1">
      <x/>
    </i>
    <i r="1">
      <x v="1"/>
    </i>
    <i r="1">
      <x v="2"/>
    </i>
    <i r="1">
      <x v="3"/>
    </i>
    <i>
      <x v="2"/>
    </i>
    <i r="1">
      <x/>
    </i>
    <i r="1">
      <x v="1"/>
    </i>
    <i r="1">
      <x v="2"/>
    </i>
    <i r="1">
      <x v="3"/>
    </i>
    <i>
      <x v="3"/>
    </i>
    <i r="1">
      <x/>
    </i>
    <i r="1">
      <x v="1"/>
    </i>
    <i r="1">
      <x v="2"/>
    </i>
    <i r="1">
      <x v="3"/>
    </i>
    <i t="grand">
      <x/>
    </i>
  </rowItems>
  <colFields count="1">
    <field x="-2"/>
  </colFields>
  <colItems count="3">
    <i>
      <x/>
    </i>
    <i i="1">
      <x v="1"/>
    </i>
    <i i="2">
      <x v="2"/>
    </i>
  </colItems>
  <dataFields count="3">
    <dataField name="Sum of Likes" fld="6" baseField="0" baseItem="0" numFmtId="1"/>
    <dataField name="Sum of Shares" fld="7" baseField="0" baseItem="0" numFmtId="1"/>
    <dataField name="Sum of Comments" fld="8"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B7AD827-116E-487B-8D37-B15F4C6A6BFC}"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7:B12" firstHeaderRow="1" firstDataRow="1" firstDataCol="1"/>
  <pivotFields count="14">
    <pivotField showAll="0"/>
    <pivotField axis="axisRow" showAll="0">
      <items count="5">
        <item x="2"/>
        <item x="1"/>
        <item x="3"/>
        <item x="0"/>
        <item t="default"/>
      </items>
    </pivotField>
    <pivotField numFmtId="14" showAll="0"/>
    <pivotField showAll="0"/>
    <pivotField showAll="0"/>
    <pivotField showAll="0"/>
    <pivotField numFmtId="1" showAll="0"/>
    <pivotField numFmtId="1" showAll="0"/>
    <pivotField numFmtId="1" showAll="0"/>
    <pivotField numFmtId="1" showAll="0"/>
    <pivotField numFmtId="1" showAll="0"/>
    <pivotField numFmtId="1" showAll="0"/>
    <pivotField showAll="0"/>
    <pivotField dataField="1" numFmtId="10" showAll="0"/>
  </pivotFields>
  <rowFields count="1">
    <field x="1"/>
  </rowFields>
  <rowItems count="5">
    <i>
      <x/>
    </i>
    <i>
      <x v="1"/>
    </i>
    <i>
      <x v="2"/>
    </i>
    <i>
      <x v="3"/>
    </i>
    <i t="grand">
      <x/>
    </i>
  </rowItems>
  <colItems count="1">
    <i/>
  </colItems>
  <dataFields count="1">
    <dataField name="Average of Engagement_rate" fld="13" subtotal="average" baseField="1"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6B587AC-CD60-44C9-A60F-70DA9F113D26}"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N23:O36" firstHeaderRow="1" firstDataRow="1" firstDataCol="1"/>
  <pivotFields count="2">
    <pivotField axis="axisRow" showAll="0">
      <items count="13">
        <item x="6"/>
        <item x="10"/>
        <item x="3"/>
        <item x="11"/>
        <item x="0"/>
        <item x="4"/>
        <item x="2"/>
        <item x="9"/>
        <item x="8"/>
        <item x="5"/>
        <item x="7"/>
        <item x="1"/>
        <item t="default"/>
      </items>
    </pivotField>
    <pivotField dataField="1" numFmtId="1" showAll="0"/>
  </pivotFields>
  <rowFields count="1">
    <field x="0"/>
  </rowFields>
  <rowItems count="13">
    <i>
      <x/>
    </i>
    <i>
      <x v="1"/>
    </i>
    <i>
      <x v="2"/>
    </i>
    <i>
      <x v="3"/>
    </i>
    <i>
      <x v="4"/>
    </i>
    <i>
      <x v="5"/>
    </i>
    <i>
      <x v="6"/>
    </i>
    <i>
      <x v="7"/>
    </i>
    <i>
      <x v="8"/>
    </i>
    <i>
      <x v="9"/>
    </i>
    <i>
      <x v="10"/>
    </i>
    <i>
      <x v="11"/>
    </i>
    <i t="grand">
      <x/>
    </i>
  </rowItems>
  <colItems count="1">
    <i/>
  </colItems>
  <dataFields count="1">
    <dataField name="Average of CLICKS" fld="1" subtotal="average" baseField="0" baseItem="2" numFmtId="1"/>
  </dataFields>
  <formats count="5">
    <format dxfId="14">
      <pivotArea type="all" dataOnly="0" outline="0" fieldPosition="0"/>
    </format>
    <format dxfId="15">
      <pivotArea outline="0" collapsedLevelsAreSubtotals="1" fieldPosition="0"/>
    </format>
    <format dxfId="16">
      <pivotArea field="0" type="button" dataOnly="0" labelOnly="1" outline="0" axis="axisRow" fieldPosition="0"/>
    </format>
    <format dxfId="17">
      <pivotArea dataOnly="0" labelOnly="1" grandRow="1" outline="0" fieldPosition="0"/>
    </format>
    <format dxfId="18">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A21CDCF-AA3D-4E78-B0A9-CB9A1453A093}"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8:E21" firstHeaderRow="1" firstDataRow="1" firstDataCol="1"/>
  <pivotFields count="2">
    <pivotField axis="axisRow" showAll="0">
      <items count="13">
        <item x="6"/>
        <item x="10"/>
        <item x="3"/>
        <item x="11"/>
        <item x="0"/>
        <item x="4"/>
        <item x="2"/>
        <item x="9"/>
        <item x="8"/>
        <item x="5"/>
        <item x="7"/>
        <item x="1"/>
        <item t="default"/>
      </items>
    </pivotField>
    <pivotField dataField="1" numFmtId="1" showAll="0"/>
  </pivotFields>
  <rowFields count="1">
    <field x="0"/>
  </rowFields>
  <rowItems count="13">
    <i>
      <x/>
    </i>
    <i>
      <x v="1"/>
    </i>
    <i>
      <x v="2"/>
    </i>
    <i>
      <x v="3"/>
    </i>
    <i>
      <x v="4"/>
    </i>
    <i>
      <x v="5"/>
    </i>
    <i>
      <x v="6"/>
    </i>
    <i>
      <x v="7"/>
    </i>
    <i>
      <x v="8"/>
    </i>
    <i>
      <x v="9"/>
    </i>
    <i>
      <x v="10"/>
    </i>
    <i>
      <x v="11"/>
    </i>
    <i t="grand">
      <x/>
    </i>
  </rowItems>
  <colItems count="1">
    <i/>
  </colItems>
  <dataFields count="1">
    <dataField name="Average of CLICKS" fld="1" subtotal="average" baseField="0" baseItem="0" numFmtId="1"/>
  </dataFields>
  <formats count="6">
    <format dxfId="8">
      <pivotArea type="all" dataOnly="0" outline="0" fieldPosition="0"/>
    </format>
    <format dxfId="9">
      <pivotArea outline="0" collapsedLevelsAreSubtotals="1" fieldPosition="0"/>
    </format>
    <format dxfId="10">
      <pivotArea field="0" type="button" dataOnly="0" labelOnly="1" outline="0" axis="axisRow" fieldPosition="0"/>
    </format>
    <format dxfId="11">
      <pivotArea dataOnly="0" labelOnly="1" fieldPosition="0">
        <references count="1">
          <reference field="0" count="0"/>
        </references>
      </pivotArea>
    </format>
    <format dxfId="12">
      <pivotArea dataOnly="0" labelOnly="1" grandRow="1" outline="0" fieldPosition="0"/>
    </format>
    <format dxfId="13">
      <pivotArea dataOnly="0" labelOnly="1" outline="0" axis="axisValues" fieldPosition="0"/>
    </format>
  </formats>
  <conditionalFormats count="1">
    <conditionalFormat type="all" priority="1">
      <pivotAreas count="1">
        <pivotArea type="data" collapsedLevelsAreSubtotals="1" fieldPosition="0">
          <references count="2">
            <reference field="4294967294" count="1" selected="0">
              <x v="0"/>
            </reference>
            <reference field="0" count="12">
              <x v="0"/>
              <x v="1"/>
              <x v="2"/>
              <x v="3"/>
              <x v="4"/>
              <x v="5"/>
              <x v="6"/>
              <x v="7"/>
              <x v="8"/>
              <x v="9"/>
              <x v="10"/>
              <x v="11"/>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D0027AF-2D62-4119-9BEF-A1FE853AEF92}"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5:B48" firstHeaderRow="1" firstDataRow="1" firstDataCol="1"/>
  <pivotFields count="2">
    <pivotField axis="axisRow" showAll="0">
      <items count="13">
        <item x="6"/>
        <item x="10"/>
        <item x="3"/>
        <item x="11"/>
        <item x="0"/>
        <item x="4"/>
        <item x="2"/>
        <item x="9"/>
        <item x="8"/>
        <item x="5"/>
        <item x="7"/>
        <item x="1"/>
        <item t="default"/>
      </items>
    </pivotField>
    <pivotField dataField="1" numFmtId="1" showAll="0"/>
  </pivotFields>
  <rowFields count="1">
    <field x="0"/>
  </rowFields>
  <rowItems count="13">
    <i>
      <x/>
    </i>
    <i>
      <x v="1"/>
    </i>
    <i>
      <x v="2"/>
    </i>
    <i>
      <x v="3"/>
    </i>
    <i>
      <x v="4"/>
    </i>
    <i>
      <x v="5"/>
    </i>
    <i>
      <x v="6"/>
    </i>
    <i>
      <x v="7"/>
    </i>
    <i>
      <x v="8"/>
    </i>
    <i>
      <x v="9"/>
    </i>
    <i>
      <x v="10"/>
    </i>
    <i>
      <x v="11"/>
    </i>
    <i t="grand">
      <x/>
    </i>
  </rowItems>
  <colItems count="1">
    <i/>
  </colItems>
  <dataFields count="1">
    <dataField name="Average of CLICKS" fld="1" subtotal="average" baseField="0" baseItem="0" numFmtId="1"/>
  </dataFields>
  <formats count="6">
    <format dxfId="0">
      <pivotArea type="all" dataOnly="0" outline="0" fieldPosition="0"/>
    </format>
    <format dxfId="1">
      <pivotArea outline="0" collapsedLevelsAreSubtotals="1" fieldPosition="0"/>
    </format>
    <format dxfId="2">
      <pivotArea field="0" type="button" dataOnly="0" labelOnly="1" outline="0" axis="axisRow" fieldPosition="0"/>
    </format>
    <format dxfId="3">
      <pivotArea dataOnly="0" labelOnly="1" fieldPosition="0">
        <references count="1">
          <reference field="0" count="0"/>
        </references>
      </pivotArea>
    </format>
    <format dxfId="4">
      <pivotArea dataOnly="0" labelOnly="1" grandRow="1" outline="0" fieldPosition="0"/>
    </format>
    <format dxfId="5">
      <pivotArea dataOnly="0" labelOnly="1" outline="0" axis="axisValues" fieldPosition="0"/>
    </format>
  </formats>
  <conditionalFormats count="1">
    <conditionalFormat type="all" priority="1">
      <pivotAreas count="1">
        <pivotArea type="data" collapsedLevelsAreSubtotals="1" fieldPosition="0">
          <references count="2">
            <reference field="4294967294" count="1" selected="0">
              <x v="0"/>
            </reference>
            <reference field="0" count="12">
              <x v="0"/>
              <x v="1"/>
              <x v="2"/>
              <x v="3"/>
              <x v="4"/>
              <x v="5"/>
              <x v="6"/>
              <x v="7"/>
              <x v="8"/>
              <x v="9"/>
              <x v="10"/>
              <x v="11"/>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4CF0183-741F-4683-B78B-C70D8A442DE8}"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3:B28" firstHeaderRow="1" firstDataRow="1" firstDataCol="1"/>
  <pivotFields count="14">
    <pivotField showAll="0"/>
    <pivotField axis="axisRow" showAll="0">
      <items count="5">
        <item x="2"/>
        <item x="1"/>
        <item x="3"/>
        <item x="0"/>
        <item t="default"/>
      </items>
    </pivotField>
    <pivotField numFmtId="14" showAll="0"/>
    <pivotField showAll="0"/>
    <pivotField showAll="0"/>
    <pivotField showAll="0"/>
    <pivotField numFmtId="1" showAll="0"/>
    <pivotField numFmtId="1" showAll="0"/>
    <pivotField numFmtId="1" showAll="0"/>
    <pivotField numFmtId="1" showAll="0"/>
    <pivotField numFmtId="1" showAll="0"/>
    <pivotField numFmtId="1" showAll="0"/>
    <pivotField showAll="0"/>
    <pivotField dataField="1" numFmtId="10" showAll="0"/>
  </pivotFields>
  <rowFields count="1">
    <field x="1"/>
  </rowFields>
  <rowItems count="5">
    <i>
      <x/>
    </i>
    <i>
      <x v="1"/>
    </i>
    <i>
      <x v="2"/>
    </i>
    <i>
      <x v="3"/>
    </i>
    <i t="grand">
      <x/>
    </i>
  </rowItems>
  <colItems count="1">
    <i/>
  </colItems>
  <dataFields count="1">
    <dataField name="Average of Engagement_rate" fld="13" subtotal="average" baseField="1"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B3EB899-E83C-4F97-A575-6376960D95C8}"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23:L36" firstHeaderRow="1" firstDataRow="1" firstDataCol="1"/>
  <pivotFields count="2">
    <pivotField axis="axisRow" showAll="0">
      <items count="13">
        <item x="6"/>
        <item x="10"/>
        <item x="3"/>
        <item x="11"/>
        <item x="0"/>
        <item x="4"/>
        <item x="2"/>
        <item x="9"/>
        <item x="8"/>
        <item x="5"/>
        <item x="7"/>
        <item x="1"/>
        <item t="default"/>
      </items>
    </pivotField>
    <pivotField dataField="1" numFmtId="1" showAll="0"/>
  </pivotFields>
  <rowFields count="1">
    <field x="0"/>
  </rowFields>
  <rowItems count="13">
    <i>
      <x/>
    </i>
    <i>
      <x v="1"/>
    </i>
    <i>
      <x v="2"/>
    </i>
    <i>
      <x v="3"/>
    </i>
    <i>
      <x v="4"/>
    </i>
    <i>
      <x v="5"/>
    </i>
    <i>
      <x v="6"/>
    </i>
    <i>
      <x v="7"/>
    </i>
    <i>
      <x v="8"/>
    </i>
    <i>
      <x v="9"/>
    </i>
    <i>
      <x v="10"/>
    </i>
    <i>
      <x v="11"/>
    </i>
    <i t="grand">
      <x/>
    </i>
  </rowItems>
  <colItems count="1">
    <i/>
  </colItems>
  <dataFields count="1">
    <dataField name="Average of CLICKS" fld="1" subtotal="average" baseField="0" baseItem="0" numFmtId="1"/>
  </dataFields>
  <formats count="6">
    <format dxfId="24">
      <pivotArea type="all" dataOnly="0" outline="0" fieldPosition="0"/>
    </format>
    <format dxfId="23">
      <pivotArea outline="0" collapsedLevelsAreSubtotals="1" fieldPosition="0"/>
    </format>
    <format dxfId="22">
      <pivotArea field="0" type="button" dataOnly="0" labelOnly="1" outline="0" axis="axisRow" fieldPosition="0"/>
    </format>
    <format dxfId="21">
      <pivotArea dataOnly="0" labelOnly="1" fieldPosition="0">
        <references count="1">
          <reference field="0" count="0"/>
        </references>
      </pivotArea>
    </format>
    <format dxfId="20">
      <pivotArea dataOnly="0" labelOnly="1" grandRow="1" outline="0" fieldPosition="0"/>
    </format>
    <format dxfId="19">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C8DA74F-9559-47CA-B64B-8400A47A2434}"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23:I44" firstHeaderRow="0" firstDataRow="1" firstDataCol="1"/>
  <pivotFields count="14">
    <pivotField dataField="1" showAll="0">
      <items count="301">
        <item x="0"/>
        <item x="9"/>
        <item x="99"/>
        <item x="100"/>
        <item x="101"/>
        <item x="102"/>
        <item x="103"/>
        <item x="104"/>
        <item x="105"/>
        <item x="106"/>
        <item x="107"/>
        <item x="108"/>
        <item x="10"/>
        <item x="109"/>
        <item x="110"/>
        <item x="111"/>
        <item x="112"/>
        <item x="113"/>
        <item x="114"/>
        <item x="115"/>
        <item x="116"/>
        <item x="117"/>
        <item x="118"/>
        <item x="11"/>
        <item x="119"/>
        <item x="120"/>
        <item x="121"/>
        <item x="122"/>
        <item x="123"/>
        <item x="124"/>
        <item x="125"/>
        <item x="126"/>
        <item x="127"/>
        <item x="128"/>
        <item x="12"/>
        <item x="129"/>
        <item x="130"/>
        <item x="131"/>
        <item x="132"/>
        <item x="133"/>
        <item x="134"/>
        <item x="135"/>
        <item x="136"/>
        <item x="137"/>
        <item x="138"/>
        <item x="13"/>
        <item x="139"/>
        <item x="140"/>
        <item x="141"/>
        <item x="142"/>
        <item x="143"/>
        <item x="144"/>
        <item x="145"/>
        <item x="146"/>
        <item x="147"/>
        <item x="148"/>
        <item x="14"/>
        <item x="149"/>
        <item x="150"/>
        <item x="151"/>
        <item x="152"/>
        <item x="153"/>
        <item x="154"/>
        <item x="155"/>
        <item x="156"/>
        <item x="157"/>
        <item x="158"/>
        <item x="15"/>
        <item x="159"/>
        <item x="160"/>
        <item x="161"/>
        <item x="162"/>
        <item x="163"/>
        <item x="164"/>
        <item x="165"/>
        <item x="166"/>
        <item x="167"/>
        <item x="168"/>
        <item x="16"/>
        <item x="169"/>
        <item x="170"/>
        <item x="171"/>
        <item x="172"/>
        <item x="173"/>
        <item x="174"/>
        <item x="175"/>
        <item x="176"/>
        <item x="177"/>
        <item x="178"/>
        <item x="17"/>
        <item x="179"/>
        <item x="180"/>
        <item x="181"/>
        <item x="182"/>
        <item x="183"/>
        <item x="184"/>
        <item x="185"/>
        <item x="186"/>
        <item x="187"/>
        <item x="188"/>
        <item x="18"/>
        <item x="189"/>
        <item x="190"/>
        <item x="191"/>
        <item x="192"/>
        <item x="193"/>
        <item x="194"/>
        <item x="195"/>
        <item x="196"/>
        <item x="197"/>
        <item x="198"/>
        <item x="1"/>
        <item x="19"/>
        <item x="199"/>
        <item x="200"/>
        <item x="201"/>
        <item x="202"/>
        <item x="203"/>
        <item x="204"/>
        <item x="205"/>
        <item x="206"/>
        <item x="207"/>
        <item x="208"/>
        <item x="20"/>
        <item x="209"/>
        <item x="210"/>
        <item x="211"/>
        <item x="212"/>
        <item x="213"/>
        <item x="214"/>
        <item x="215"/>
        <item x="216"/>
        <item x="217"/>
        <item x="218"/>
        <item x="21"/>
        <item x="219"/>
        <item x="220"/>
        <item x="221"/>
        <item x="222"/>
        <item x="223"/>
        <item x="224"/>
        <item x="225"/>
        <item x="226"/>
        <item x="227"/>
        <item x="228"/>
        <item x="22"/>
        <item x="229"/>
        <item x="230"/>
        <item x="231"/>
        <item x="232"/>
        <item x="233"/>
        <item x="234"/>
        <item x="235"/>
        <item x="236"/>
        <item x="237"/>
        <item x="238"/>
        <item x="23"/>
        <item x="239"/>
        <item x="240"/>
        <item x="241"/>
        <item x="242"/>
        <item x="243"/>
        <item x="244"/>
        <item x="245"/>
        <item x="246"/>
        <item x="247"/>
        <item x="248"/>
        <item x="24"/>
        <item x="249"/>
        <item x="250"/>
        <item x="251"/>
        <item x="252"/>
        <item x="253"/>
        <item x="254"/>
        <item x="255"/>
        <item x="256"/>
        <item x="257"/>
        <item x="258"/>
        <item x="25"/>
        <item x="259"/>
        <item x="260"/>
        <item x="261"/>
        <item x="262"/>
        <item x="263"/>
        <item x="264"/>
        <item x="265"/>
        <item x="266"/>
        <item x="267"/>
        <item x="268"/>
        <item x="26"/>
        <item x="269"/>
        <item x="270"/>
        <item x="271"/>
        <item x="272"/>
        <item x="273"/>
        <item x="274"/>
        <item x="275"/>
        <item x="276"/>
        <item x="277"/>
        <item x="278"/>
        <item x="27"/>
        <item x="279"/>
        <item x="280"/>
        <item x="281"/>
        <item x="282"/>
        <item x="283"/>
        <item x="284"/>
        <item x="285"/>
        <item x="286"/>
        <item x="287"/>
        <item x="288"/>
        <item x="28"/>
        <item x="289"/>
        <item x="290"/>
        <item x="291"/>
        <item x="292"/>
        <item x="293"/>
        <item x="294"/>
        <item x="295"/>
        <item x="296"/>
        <item x="297"/>
        <item x="298"/>
        <item x="2"/>
        <item x="29"/>
        <item x="299"/>
        <item x="30"/>
        <item x="31"/>
        <item x="32"/>
        <item x="33"/>
        <item x="34"/>
        <item x="35"/>
        <item x="36"/>
        <item x="37"/>
        <item x="38"/>
        <item x="3"/>
        <item x="39"/>
        <item x="40"/>
        <item x="41"/>
        <item x="42"/>
        <item x="43"/>
        <item x="44"/>
        <item x="45"/>
        <item x="46"/>
        <item x="47"/>
        <item x="48"/>
        <item x="4"/>
        <item x="49"/>
        <item x="50"/>
        <item x="51"/>
        <item x="52"/>
        <item x="53"/>
        <item x="54"/>
        <item x="55"/>
        <item x="56"/>
        <item x="57"/>
        <item x="58"/>
        <item x="5"/>
        <item x="59"/>
        <item x="60"/>
        <item x="61"/>
        <item x="62"/>
        <item x="63"/>
        <item x="64"/>
        <item x="65"/>
        <item x="66"/>
        <item x="67"/>
        <item x="68"/>
        <item x="6"/>
        <item x="69"/>
        <item x="70"/>
        <item x="71"/>
        <item x="72"/>
        <item x="73"/>
        <item x="74"/>
        <item x="75"/>
        <item x="76"/>
        <item x="77"/>
        <item x="78"/>
        <item x="7"/>
        <item x="79"/>
        <item x="80"/>
        <item x="81"/>
        <item x="82"/>
        <item x="83"/>
        <item x="84"/>
        <item x="85"/>
        <item x="86"/>
        <item x="87"/>
        <item x="88"/>
        <item x="8"/>
        <item x="89"/>
        <item x="90"/>
        <item x="91"/>
        <item x="92"/>
        <item x="93"/>
        <item x="94"/>
        <item x="95"/>
        <item x="96"/>
        <item x="97"/>
        <item x="98"/>
        <item t="default"/>
      </items>
    </pivotField>
    <pivotField axis="axisRow" showAll="0">
      <items count="5">
        <item x="2"/>
        <item x="1"/>
        <item x="3"/>
        <item x="0"/>
        <item t="default"/>
      </items>
    </pivotField>
    <pivotField numFmtId="14" showAll="0"/>
    <pivotField axis="axisRow" showAll="0">
      <items count="5">
        <item x="3"/>
        <item x="0"/>
        <item x="1"/>
        <item x="2"/>
        <item t="default"/>
      </items>
    </pivotField>
    <pivotField showAll="0"/>
    <pivotField showAll="0"/>
    <pivotField dataField="1" numFmtId="1" showAll="0"/>
    <pivotField dataField="1" numFmtId="1" showAll="0"/>
    <pivotField dataField="1" numFmtId="1" showAll="0"/>
    <pivotField numFmtId="1" showAll="0"/>
    <pivotField numFmtId="1" showAll="0"/>
    <pivotField numFmtId="1" showAll="0"/>
    <pivotField showAll="0"/>
    <pivotField numFmtId="10" showAll="0"/>
  </pivotFields>
  <rowFields count="2">
    <field x="3"/>
    <field x="1"/>
  </rowFields>
  <rowItems count="21">
    <i>
      <x/>
    </i>
    <i r="1">
      <x/>
    </i>
    <i r="1">
      <x v="1"/>
    </i>
    <i r="1">
      <x v="2"/>
    </i>
    <i r="1">
      <x v="3"/>
    </i>
    <i>
      <x v="1"/>
    </i>
    <i r="1">
      <x/>
    </i>
    <i r="1">
      <x v="1"/>
    </i>
    <i r="1">
      <x v="2"/>
    </i>
    <i r="1">
      <x v="3"/>
    </i>
    <i>
      <x v="2"/>
    </i>
    <i r="1">
      <x/>
    </i>
    <i r="1">
      <x v="1"/>
    </i>
    <i r="1">
      <x v="2"/>
    </i>
    <i r="1">
      <x v="3"/>
    </i>
    <i>
      <x v="3"/>
    </i>
    <i r="1">
      <x/>
    </i>
    <i r="1">
      <x v="1"/>
    </i>
    <i r="1">
      <x v="2"/>
    </i>
    <i r="1">
      <x v="3"/>
    </i>
    <i t="grand">
      <x/>
    </i>
  </rowItems>
  <colFields count="1">
    <field x="-2"/>
  </colFields>
  <colItems count="4">
    <i>
      <x/>
    </i>
    <i i="1">
      <x v="1"/>
    </i>
    <i i="2">
      <x v="2"/>
    </i>
    <i i="3">
      <x v="3"/>
    </i>
  </colItems>
  <dataFields count="4">
    <dataField name="Sum of Likes" fld="6" baseField="0" baseItem="0" numFmtId="1"/>
    <dataField name="Sum of Shares" fld="7" baseField="0" baseItem="0" numFmtId="1"/>
    <dataField name="Sum of Comments" fld="8" baseField="0" baseItem="0" numFmtId="1"/>
    <dataField name="Count of Post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9159909-E196-42EB-BB09-4C93686FE066}"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P8:Q20" firstHeaderRow="1" firstDataRow="1" firstDataCol="1"/>
  <pivotFields count="14">
    <pivotField showAll="0"/>
    <pivotField showAll="0">
      <items count="5">
        <item x="2"/>
        <item x="1"/>
        <item x="3"/>
        <item x="0"/>
        <item t="default"/>
      </items>
    </pivotField>
    <pivotField numFmtId="14" showAll="0"/>
    <pivotField showAll="0"/>
    <pivotField axis="axisRow" showAll="0">
      <items count="12">
        <item x="2"/>
        <item x="3"/>
        <item x="5"/>
        <item x="6"/>
        <item x="0"/>
        <item x="7"/>
        <item x="8"/>
        <item x="1"/>
        <item x="9"/>
        <item x="4"/>
        <item x="10"/>
        <item t="default"/>
      </items>
    </pivotField>
    <pivotField showAll="0">
      <items count="12">
        <item x="10"/>
        <item x="7"/>
        <item x="1"/>
        <item x="5"/>
        <item x="6"/>
        <item x="0"/>
        <item x="2"/>
        <item x="3"/>
        <item x="8"/>
        <item x="9"/>
        <item x="4"/>
        <item t="default"/>
      </items>
    </pivotField>
    <pivotField numFmtId="1" showAll="0"/>
    <pivotField numFmtId="1" showAll="0"/>
    <pivotField numFmtId="1" showAll="0"/>
    <pivotField dataField="1" numFmtId="1" showAll="0"/>
    <pivotField numFmtId="1" showAll="0"/>
    <pivotField numFmtId="1" showAll="0"/>
    <pivotField showAll="0"/>
    <pivotField numFmtId="10" showAll="0"/>
  </pivotFields>
  <rowFields count="1">
    <field x="4"/>
  </rowFields>
  <rowItems count="12">
    <i>
      <x/>
    </i>
    <i>
      <x v="1"/>
    </i>
    <i>
      <x v="2"/>
    </i>
    <i>
      <x v="3"/>
    </i>
    <i>
      <x v="4"/>
    </i>
    <i>
      <x v="5"/>
    </i>
    <i>
      <x v="6"/>
    </i>
    <i>
      <x v="7"/>
    </i>
    <i>
      <x v="8"/>
    </i>
    <i>
      <x v="9"/>
    </i>
    <i>
      <x v="10"/>
    </i>
    <i t="grand">
      <x/>
    </i>
  </rowItems>
  <colItems count="1">
    <i/>
  </colItems>
  <dataFields count="1">
    <dataField name="Average of Clicks" fld="9" subtotal="average" baseField="4"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9AA4EFC-7CA3-4122-BC2F-5901E2E5D821}"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P22:Q33" firstHeaderRow="1" firstDataRow="1" firstDataCol="1"/>
  <pivotFields count="14">
    <pivotField showAll="0"/>
    <pivotField showAll="0">
      <items count="5">
        <item x="2"/>
        <item x="1"/>
        <item x="3"/>
        <item x="0"/>
        <item t="default"/>
      </items>
    </pivotField>
    <pivotField numFmtId="14" showAll="0"/>
    <pivotField showAll="0"/>
    <pivotField showAll="0">
      <items count="12">
        <item x="2"/>
        <item x="3"/>
        <item x="5"/>
        <item x="6"/>
        <item x="0"/>
        <item x="7"/>
        <item x="8"/>
        <item x="1"/>
        <item x="9"/>
        <item x="4"/>
        <item x="10"/>
        <item t="default"/>
      </items>
    </pivotField>
    <pivotField axis="axisRow" showAll="0">
      <items count="12">
        <item x="10"/>
        <item x="7"/>
        <item x="1"/>
        <item x="5"/>
        <item x="6"/>
        <item x="0"/>
        <item x="2"/>
        <item x="3"/>
        <item x="8"/>
        <item x="9"/>
        <item h="1" x="4"/>
        <item t="default"/>
      </items>
    </pivotField>
    <pivotField numFmtId="1" showAll="0"/>
    <pivotField numFmtId="1" showAll="0"/>
    <pivotField numFmtId="1" showAll="0"/>
    <pivotField dataField="1" numFmtId="1" showAll="0"/>
    <pivotField numFmtId="1" showAll="0"/>
    <pivotField numFmtId="1" showAll="0"/>
    <pivotField showAll="0"/>
    <pivotField numFmtId="10" showAll="0"/>
  </pivotFields>
  <rowFields count="1">
    <field x="5"/>
  </rowFields>
  <rowItems count="11">
    <i>
      <x/>
    </i>
    <i>
      <x v="1"/>
    </i>
    <i>
      <x v="2"/>
    </i>
    <i>
      <x v="3"/>
    </i>
    <i>
      <x v="4"/>
    </i>
    <i>
      <x v="5"/>
    </i>
    <i>
      <x v="6"/>
    </i>
    <i>
      <x v="7"/>
    </i>
    <i>
      <x v="8"/>
    </i>
    <i>
      <x v="9"/>
    </i>
    <i t="grand">
      <x/>
    </i>
  </rowItems>
  <colItems count="1">
    <i/>
  </colItems>
  <dataFields count="1">
    <dataField name="Average of Clicks" fld="9" subtotal="average" baseField="4"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pivotTable" Target="../pivotTables/pivotTable4.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7.xml"/><Relationship Id="rId7" Type="http://schemas.openxmlformats.org/officeDocument/2006/relationships/drawing" Target="../drawings/drawing1.xml"/><Relationship Id="rId2" Type="http://schemas.openxmlformats.org/officeDocument/2006/relationships/pivotTable" Target="../pivotTables/pivotTable6.xml"/><Relationship Id="rId1" Type="http://schemas.openxmlformats.org/officeDocument/2006/relationships/pivotTable" Target="../pivotTables/pivotTable5.xml"/><Relationship Id="rId6" Type="http://schemas.openxmlformats.org/officeDocument/2006/relationships/pivotTable" Target="../pivotTables/pivotTable10.xml"/><Relationship Id="rId5" Type="http://schemas.openxmlformats.org/officeDocument/2006/relationships/pivotTable" Target="../pivotTables/pivotTable9.xml"/><Relationship Id="rId4"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21681E-CBC3-4721-B064-D10403A93D57}">
  <sheetPr>
    <tabColor rgb="FFFF0066"/>
  </sheetPr>
  <dimension ref="A1:AJ301"/>
  <sheetViews>
    <sheetView topLeftCell="M7" zoomScale="70" zoomScaleNormal="70" workbookViewId="0">
      <selection activeCell="M28" sqref="M28"/>
    </sheetView>
  </sheetViews>
  <sheetFormatPr defaultRowHeight="14.4" x14ac:dyDescent="0.3"/>
  <cols>
    <col min="1" max="1" width="7.88671875" customWidth="1"/>
    <col min="2" max="2" width="12.44140625" customWidth="1"/>
    <col min="3" max="4" width="13.5546875" customWidth="1"/>
    <col min="5" max="5" width="17.77734375" customWidth="1"/>
    <col min="6" max="6" width="14" customWidth="1"/>
    <col min="7" max="7" width="6.88671875" customWidth="1"/>
    <col min="8" max="8" width="6.21875" customWidth="1"/>
    <col min="9" max="9" width="8.21875" customWidth="1"/>
    <col min="10" max="10" width="7.33203125" customWidth="1"/>
    <col min="11" max="11" width="6.6640625" customWidth="1"/>
    <col min="12" max="12" width="10.6640625" customWidth="1"/>
    <col min="13" max="13" width="24.88671875" customWidth="1"/>
    <col min="14" max="14" width="12.33203125" style="11" customWidth="1"/>
    <col min="16" max="16" width="9.6640625" customWidth="1"/>
    <col min="17" max="17" width="14.33203125" customWidth="1"/>
    <col min="18" max="18" width="16.33203125" customWidth="1"/>
    <col min="19" max="19" width="14.21875" customWidth="1"/>
    <col min="20" max="20" width="15.88671875" customWidth="1"/>
    <col min="21" max="21" width="17.21875" customWidth="1"/>
    <col min="28" max="28" width="12.21875" customWidth="1"/>
    <col min="29" max="29" width="14.77734375" customWidth="1"/>
  </cols>
  <sheetData>
    <row r="1" spans="1:36" ht="15" thickBot="1" x14ac:dyDescent="0.35">
      <c r="A1" s="14" t="s">
        <v>0</v>
      </c>
      <c r="B1" s="2" t="s">
        <v>1</v>
      </c>
      <c r="C1" s="3" t="s">
        <v>2</v>
      </c>
      <c r="D1" s="2" t="s">
        <v>3</v>
      </c>
      <c r="E1" s="2" t="s">
        <v>4</v>
      </c>
      <c r="F1" s="2" t="s">
        <v>5</v>
      </c>
      <c r="G1" s="4" t="s">
        <v>6</v>
      </c>
      <c r="H1" s="4" t="s">
        <v>7</v>
      </c>
      <c r="I1" s="4" t="s">
        <v>8</v>
      </c>
      <c r="J1" s="4" t="s">
        <v>9</v>
      </c>
      <c r="K1" s="5" t="s">
        <v>10</v>
      </c>
      <c r="L1" s="4" t="s">
        <v>11</v>
      </c>
      <c r="M1" s="1" t="s">
        <v>12</v>
      </c>
      <c r="N1" s="15" t="s">
        <v>345</v>
      </c>
    </row>
    <row r="2" spans="1:36" ht="15" thickBot="1" x14ac:dyDescent="0.35">
      <c r="A2" s="6" t="s">
        <v>126</v>
      </c>
      <c r="B2" s="7" t="s">
        <v>20</v>
      </c>
      <c r="C2" s="8">
        <v>45497</v>
      </c>
      <c r="D2" s="7" t="s">
        <v>31</v>
      </c>
      <c r="E2" s="18" t="s">
        <v>40</v>
      </c>
      <c r="F2" s="7" t="s">
        <v>41</v>
      </c>
      <c r="G2" s="9">
        <v>22914</v>
      </c>
      <c r="H2" s="9">
        <v>954</v>
      </c>
      <c r="I2" s="9">
        <v>584</v>
      </c>
      <c r="J2" s="9">
        <v>1519</v>
      </c>
      <c r="K2" s="10">
        <v>13637</v>
      </c>
      <c r="L2" s="9">
        <v>49847</v>
      </c>
      <c r="M2" s="6" t="s">
        <v>18</v>
      </c>
      <c r="N2" s="11">
        <f t="shared" ref="N2:N65" si="0">(G2+H2+I2)/L2</f>
        <v>0.49054105563022848</v>
      </c>
    </row>
    <row r="3" spans="1:36" ht="15" customHeight="1" thickBot="1" x14ac:dyDescent="0.35">
      <c r="A3" s="6" t="s">
        <v>245</v>
      </c>
      <c r="B3" s="7" t="s">
        <v>14</v>
      </c>
      <c r="C3" s="8">
        <v>45672</v>
      </c>
      <c r="D3" s="7" t="s">
        <v>26</v>
      </c>
      <c r="E3" s="7" t="s">
        <v>37</v>
      </c>
      <c r="F3" s="7"/>
      <c r="G3" s="9">
        <v>20360</v>
      </c>
      <c r="H3" s="9">
        <v>254</v>
      </c>
      <c r="I3" s="9">
        <v>726</v>
      </c>
      <c r="J3" s="9">
        <v>1995</v>
      </c>
      <c r="K3" s="10">
        <v>14280</v>
      </c>
      <c r="L3" s="9">
        <v>43726</v>
      </c>
      <c r="M3" s="6" t="s">
        <v>34</v>
      </c>
      <c r="N3" s="11">
        <f t="shared" si="0"/>
        <v>0.48803915290673738</v>
      </c>
      <c r="P3" s="102" t="s">
        <v>350</v>
      </c>
      <c r="Q3" s="103"/>
      <c r="R3" s="103"/>
      <c r="S3" s="103"/>
      <c r="T3" s="103"/>
      <c r="U3" s="103"/>
      <c r="V3" s="103"/>
      <c r="W3" s="103"/>
      <c r="X3" s="103"/>
      <c r="Y3" s="103"/>
      <c r="Z3" s="103"/>
      <c r="AA3" s="103"/>
      <c r="AB3" s="103"/>
      <c r="AC3" s="104"/>
    </row>
    <row r="4" spans="1:36" ht="15" customHeight="1" thickBot="1" x14ac:dyDescent="0.35">
      <c r="A4" s="6" t="s">
        <v>165</v>
      </c>
      <c r="B4" s="7" t="s">
        <v>20</v>
      </c>
      <c r="C4" s="8">
        <v>45502</v>
      </c>
      <c r="D4" s="7" t="s">
        <v>31</v>
      </c>
      <c r="E4" s="7" t="s">
        <v>16</v>
      </c>
      <c r="F4" s="7" t="s">
        <v>17</v>
      </c>
      <c r="G4" s="9">
        <v>19144</v>
      </c>
      <c r="H4" s="9">
        <v>1182</v>
      </c>
      <c r="I4" s="9">
        <v>860</v>
      </c>
      <c r="J4" s="9">
        <v>1398</v>
      </c>
      <c r="K4" s="10">
        <v>4185</v>
      </c>
      <c r="L4" s="9">
        <v>46570</v>
      </c>
      <c r="M4" s="6" t="s">
        <v>18</v>
      </c>
      <c r="N4" s="11">
        <f t="shared" si="0"/>
        <v>0.454928065278076</v>
      </c>
      <c r="P4" s="105"/>
      <c r="Q4" s="106"/>
      <c r="R4" s="106"/>
      <c r="S4" s="106"/>
      <c r="T4" s="106"/>
      <c r="U4" s="106"/>
      <c r="V4" s="106"/>
      <c r="W4" s="106"/>
      <c r="X4" s="106"/>
      <c r="Y4" s="106"/>
      <c r="Z4" s="106"/>
      <c r="AA4" s="106"/>
      <c r="AB4" s="106"/>
      <c r="AC4" s="107"/>
      <c r="AE4" s="114" t="s">
        <v>389</v>
      </c>
      <c r="AF4" s="115"/>
      <c r="AG4" s="115"/>
      <c r="AH4" s="115"/>
      <c r="AI4" s="115"/>
      <c r="AJ4" s="115"/>
    </row>
    <row r="5" spans="1:36" ht="15" customHeight="1" thickBot="1" x14ac:dyDescent="0.35">
      <c r="A5" s="6" t="s">
        <v>171</v>
      </c>
      <c r="B5" s="7" t="s">
        <v>47</v>
      </c>
      <c r="C5" s="8">
        <v>45684</v>
      </c>
      <c r="D5" s="7" t="s">
        <v>15</v>
      </c>
      <c r="E5" s="7" t="s">
        <v>32</v>
      </c>
      <c r="F5" s="7" t="s">
        <v>57</v>
      </c>
      <c r="G5" s="9">
        <v>24415</v>
      </c>
      <c r="H5" s="9">
        <v>860</v>
      </c>
      <c r="I5" s="9">
        <v>931</v>
      </c>
      <c r="J5" s="9">
        <v>320</v>
      </c>
      <c r="K5" s="10">
        <v>65049</v>
      </c>
      <c r="L5" s="9">
        <v>62911</v>
      </c>
      <c r="M5" s="6" t="s">
        <v>18</v>
      </c>
      <c r="N5" s="11">
        <f t="shared" si="0"/>
        <v>0.41655672298962027</v>
      </c>
      <c r="P5" s="40" t="s">
        <v>0</v>
      </c>
      <c r="Q5" s="41" t="s">
        <v>1</v>
      </c>
      <c r="R5" s="42" t="s">
        <v>2</v>
      </c>
      <c r="S5" s="41" t="s">
        <v>3</v>
      </c>
      <c r="T5" s="43" t="s">
        <v>4</v>
      </c>
      <c r="U5" s="43" t="s">
        <v>5</v>
      </c>
      <c r="V5" s="44" t="s">
        <v>6</v>
      </c>
      <c r="W5" s="45" t="s">
        <v>7</v>
      </c>
      <c r="X5" s="45" t="s">
        <v>8</v>
      </c>
      <c r="Y5" s="45" t="s">
        <v>9</v>
      </c>
      <c r="Z5" s="46" t="s">
        <v>10</v>
      </c>
      <c r="AA5" s="44" t="s">
        <v>11</v>
      </c>
      <c r="AB5" s="47" t="s">
        <v>12</v>
      </c>
      <c r="AC5" s="21" t="s">
        <v>345</v>
      </c>
      <c r="AE5" s="115"/>
      <c r="AF5" s="115"/>
      <c r="AG5" s="115"/>
      <c r="AH5" s="115"/>
      <c r="AI5" s="115"/>
      <c r="AJ5" s="115"/>
    </row>
    <row r="6" spans="1:36" ht="15" customHeight="1" thickBot="1" x14ac:dyDescent="0.35">
      <c r="A6" s="6" t="s">
        <v>51</v>
      </c>
      <c r="B6" s="7" t="s">
        <v>14</v>
      </c>
      <c r="C6" s="8">
        <v>45614</v>
      </c>
      <c r="D6" s="7" t="s">
        <v>39</v>
      </c>
      <c r="E6" s="7" t="s">
        <v>40</v>
      </c>
      <c r="F6" s="7" t="s">
        <v>41</v>
      </c>
      <c r="G6" s="9">
        <v>21255</v>
      </c>
      <c r="H6" s="9">
        <v>1452</v>
      </c>
      <c r="I6" s="9">
        <v>625</v>
      </c>
      <c r="J6" s="9">
        <v>1624</v>
      </c>
      <c r="K6" s="10">
        <v>21282</v>
      </c>
      <c r="L6" s="9">
        <v>57778</v>
      </c>
      <c r="M6" s="6" t="s">
        <v>52</v>
      </c>
      <c r="N6" s="11">
        <f t="shared" si="0"/>
        <v>0.40382152376337016</v>
      </c>
      <c r="P6" s="24" t="s">
        <v>126</v>
      </c>
      <c r="Q6" s="27" t="s">
        <v>20</v>
      </c>
      <c r="R6" s="30">
        <v>45497</v>
      </c>
      <c r="S6" s="27" t="s">
        <v>31</v>
      </c>
      <c r="T6" s="27" t="s">
        <v>40</v>
      </c>
      <c r="U6" s="27" t="s">
        <v>41</v>
      </c>
      <c r="V6" s="33">
        <v>22914</v>
      </c>
      <c r="W6" s="35">
        <v>954</v>
      </c>
      <c r="X6" s="35">
        <v>584</v>
      </c>
      <c r="Y6" s="35">
        <v>1519</v>
      </c>
      <c r="Z6" s="37">
        <v>13637</v>
      </c>
      <c r="AA6" s="33">
        <v>49847</v>
      </c>
      <c r="AB6" s="25" t="s">
        <v>18</v>
      </c>
      <c r="AC6" s="22">
        <f t="shared" ref="AC6:AC15" si="1">(V6+W6+X6)/AA6</f>
        <v>0.49054105563022848</v>
      </c>
      <c r="AE6" s="112" t="s">
        <v>379</v>
      </c>
      <c r="AF6" s="113"/>
      <c r="AG6" s="113"/>
      <c r="AH6" s="113"/>
      <c r="AI6" s="113"/>
      <c r="AJ6" s="113"/>
    </row>
    <row r="7" spans="1:36" ht="15" customHeight="1" thickBot="1" x14ac:dyDescent="0.35">
      <c r="A7" s="6" t="s">
        <v>167</v>
      </c>
      <c r="B7" s="7" t="s">
        <v>47</v>
      </c>
      <c r="C7" s="8">
        <v>45457</v>
      </c>
      <c r="D7" s="7" t="s">
        <v>31</v>
      </c>
      <c r="E7" s="7" t="s">
        <v>32</v>
      </c>
      <c r="F7" s="7" t="s">
        <v>57</v>
      </c>
      <c r="G7" s="9">
        <v>17183</v>
      </c>
      <c r="H7" s="9">
        <v>1224</v>
      </c>
      <c r="I7" s="9">
        <v>943</v>
      </c>
      <c r="J7" s="9">
        <v>2010</v>
      </c>
      <c r="K7" s="10">
        <v>21481</v>
      </c>
      <c r="L7" s="9">
        <v>49110</v>
      </c>
      <c r="M7" s="6" t="s">
        <v>29</v>
      </c>
      <c r="N7" s="11">
        <f t="shared" si="0"/>
        <v>0.39401343921808185</v>
      </c>
      <c r="P7" s="25" t="s">
        <v>245</v>
      </c>
      <c r="Q7" s="28" t="s">
        <v>14</v>
      </c>
      <c r="R7" s="31">
        <v>45672</v>
      </c>
      <c r="S7" s="28" t="s">
        <v>26</v>
      </c>
      <c r="T7" s="28" t="s">
        <v>37</v>
      </c>
      <c r="U7" s="28"/>
      <c r="V7" s="33">
        <v>20360</v>
      </c>
      <c r="W7" s="35">
        <v>254</v>
      </c>
      <c r="X7" s="35">
        <v>726</v>
      </c>
      <c r="Y7" s="35">
        <v>1995</v>
      </c>
      <c r="Z7" s="38">
        <v>14280</v>
      </c>
      <c r="AA7" s="33">
        <v>43726</v>
      </c>
      <c r="AB7" s="25" t="s">
        <v>34</v>
      </c>
      <c r="AC7" s="22">
        <f t="shared" si="1"/>
        <v>0.48803915290673738</v>
      </c>
      <c r="AE7" s="113"/>
      <c r="AF7" s="113"/>
      <c r="AG7" s="113"/>
      <c r="AH7" s="113"/>
      <c r="AI7" s="113"/>
      <c r="AJ7" s="113"/>
    </row>
    <row r="8" spans="1:36" ht="15" customHeight="1" thickBot="1" x14ac:dyDescent="0.35">
      <c r="A8" s="6" t="s">
        <v>331</v>
      </c>
      <c r="B8" s="7" t="s">
        <v>25</v>
      </c>
      <c r="C8" s="8">
        <v>45519</v>
      </c>
      <c r="D8" s="7" t="s">
        <v>31</v>
      </c>
      <c r="E8" s="7" t="s">
        <v>32</v>
      </c>
      <c r="F8" s="7" t="s">
        <v>33</v>
      </c>
      <c r="G8" s="9">
        <v>14977</v>
      </c>
      <c r="H8" s="9">
        <v>274</v>
      </c>
      <c r="I8" s="9">
        <v>798</v>
      </c>
      <c r="J8" s="9">
        <v>458</v>
      </c>
      <c r="K8" s="10">
        <v>6636</v>
      </c>
      <c r="L8" s="9">
        <v>43654</v>
      </c>
      <c r="M8" s="6" t="s">
        <v>18</v>
      </c>
      <c r="N8" s="11">
        <f t="shared" si="0"/>
        <v>0.36764099509781462</v>
      </c>
      <c r="P8" s="25" t="s">
        <v>165</v>
      </c>
      <c r="Q8" s="28" t="s">
        <v>20</v>
      </c>
      <c r="R8" s="31">
        <v>45502</v>
      </c>
      <c r="S8" s="28" t="s">
        <v>31</v>
      </c>
      <c r="T8" s="28" t="s">
        <v>16</v>
      </c>
      <c r="U8" s="28" t="s">
        <v>17</v>
      </c>
      <c r="V8" s="33">
        <v>19144</v>
      </c>
      <c r="W8" s="35">
        <v>1182</v>
      </c>
      <c r="X8" s="35">
        <v>860</v>
      </c>
      <c r="Y8" s="35">
        <v>1398</v>
      </c>
      <c r="Z8" s="38">
        <v>4185</v>
      </c>
      <c r="AA8" s="33">
        <v>46570</v>
      </c>
      <c r="AB8" s="25" t="s">
        <v>18</v>
      </c>
      <c r="AC8" s="22">
        <f t="shared" si="1"/>
        <v>0.454928065278076</v>
      </c>
      <c r="AE8" s="113"/>
      <c r="AF8" s="113"/>
      <c r="AG8" s="113"/>
      <c r="AH8" s="113"/>
      <c r="AI8" s="113"/>
      <c r="AJ8" s="113"/>
    </row>
    <row r="9" spans="1:36" ht="15" customHeight="1" thickBot="1" x14ac:dyDescent="0.35">
      <c r="A9" s="6" t="s">
        <v>270</v>
      </c>
      <c r="B9" s="7" t="s">
        <v>47</v>
      </c>
      <c r="C9" s="8">
        <v>45908</v>
      </c>
      <c r="D9" s="7" t="s">
        <v>26</v>
      </c>
      <c r="E9" s="7" t="s">
        <v>43</v>
      </c>
      <c r="F9" s="7" t="s">
        <v>44</v>
      </c>
      <c r="G9" s="9">
        <v>23785</v>
      </c>
      <c r="H9" s="9">
        <v>1013</v>
      </c>
      <c r="I9" s="9">
        <v>468</v>
      </c>
      <c r="J9" s="9">
        <v>1628</v>
      </c>
      <c r="K9" s="10">
        <v>8272</v>
      </c>
      <c r="L9" s="9">
        <v>71348</v>
      </c>
      <c r="M9" s="6" t="s">
        <v>23</v>
      </c>
      <c r="N9" s="11">
        <f t="shared" si="0"/>
        <v>0.35412345125301342</v>
      </c>
      <c r="P9" s="25" t="s">
        <v>171</v>
      </c>
      <c r="Q9" s="28" t="s">
        <v>47</v>
      </c>
      <c r="R9" s="31">
        <v>45684</v>
      </c>
      <c r="S9" s="28" t="s">
        <v>15</v>
      </c>
      <c r="T9" s="28" t="s">
        <v>32</v>
      </c>
      <c r="U9" s="28" t="s">
        <v>57</v>
      </c>
      <c r="V9" s="33">
        <v>24415</v>
      </c>
      <c r="W9" s="35">
        <v>860</v>
      </c>
      <c r="X9" s="35">
        <v>931</v>
      </c>
      <c r="Y9" s="35">
        <v>320</v>
      </c>
      <c r="Z9" s="38">
        <v>65049</v>
      </c>
      <c r="AA9" s="33">
        <v>62911</v>
      </c>
      <c r="AB9" s="25" t="s">
        <v>18</v>
      </c>
      <c r="AC9" s="22">
        <f t="shared" si="1"/>
        <v>0.41655672298962027</v>
      </c>
      <c r="AE9" s="113"/>
      <c r="AF9" s="113"/>
      <c r="AG9" s="113"/>
      <c r="AH9" s="113"/>
      <c r="AI9" s="113"/>
      <c r="AJ9" s="113"/>
    </row>
    <row r="10" spans="1:36" ht="15" customHeight="1" thickBot="1" x14ac:dyDescent="0.35">
      <c r="A10" s="6" t="s">
        <v>275</v>
      </c>
      <c r="B10" s="7" t="s">
        <v>47</v>
      </c>
      <c r="C10" s="8">
        <v>45909</v>
      </c>
      <c r="D10" s="7" t="s">
        <v>15</v>
      </c>
      <c r="E10" s="7" t="s">
        <v>40</v>
      </c>
      <c r="F10" s="7" t="s">
        <v>41</v>
      </c>
      <c r="G10" s="9">
        <v>19260</v>
      </c>
      <c r="H10" s="9">
        <v>668</v>
      </c>
      <c r="I10" s="9">
        <v>994</v>
      </c>
      <c r="J10" s="9">
        <v>934</v>
      </c>
      <c r="K10" s="10">
        <v>20509</v>
      </c>
      <c r="L10" s="9">
        <v>61636</v>
      </c>
      <c r="M10" s="6" t="s">
        <v>23</v>
      </c>
      <c r="N10" s="11">
        <f t="shared" si="0"/>
        <v>0.33944448049841003</v>
      </c>
      <c r="P10" s="25" t="s">
        <v>51</v>
      </c>
      <c r="Q10" s="28" t="s">
        <v>14</v>
      </c>
      <c r="R10" s="31">
        <v>45614</v>
      </c>
      <c r="S10" s="28" t="s">
        <v>39</v>
      </c>
      <c r="T10" s="28" t="s">
        <v>40</v>
      </c>
      <c r="U10" s="28" t="s">
        <v>41</v>
      </c>
      <c r="V10" s="33">
        <v>21255</v>
      </c>
      <c r="W10" s="35">
        <v>1452</v>
      </c>
      <c r="X10" s="35">
        <v>625</v>
      </c>
      <c r="Y10" s="35">
        <v>1624</v>
      </c>
      <c r="Z10" s="38">
        <v>21282</v>
      </c>
      <c r="AA10" s="33">
        <v>57778</v>
      </c>
      <c r="AB10" s="25" t="s">
        <v>52</v>
      </c>
      <c r="AC10" s="22">
        <f t="shared" si="1"/>
        <v>0.40382152376337016</v>
      </c>
      <c r="AE10" s="113"/>
      <c r="AF10" s="113"/>
      <c r="AG10" s="113"/>
      <c r="AH10" s="113"/>
      <c r="AI10" s="113"/>
      <c r="AJ10" s="113"/>
    </row>
    <row r="11" spans="1:36" ht="15" customHeight="1" thickBot="1" x14ac:dyDescent="0.35">
      <c r="A11" s="6" t="s">
        <v>229</v>
      </c>
      <c r="B11" s="7" t="s">
        <v>25</v>
      </c>
      <c r="C11" s="8">
        <v>45668</v>
      </c>
      <c r="D11" s="7" t="s">
        <v>15</v>
      </c>
      <c r="E11" s="7" t="s">
        <v>21</v>
      </c>
      <c r="F11" s="7" t="s">
        <v>22</v>
      </c>
      <c r="G11" s="9">
        <v>21181</v>
      </c>
      <c r="H11" s="9">
        <v>1242</v>
      </c>
      <c r="I11" s="9">
        <v>963</v>
      </c>
      <c r="J11" s="9">
        <v>1689</v>
      </c>
      <c r="K11" s="10">
        <v>49329</v>
      </c>
      <c r="L11" s="9">
        <v>69165</v>
      </c>
      <c r="M11" s="6" t="s">
        <v>18</v>
      </c>
      <c r="N11" s="11">
        <f t="shared" si="0"/>
        <v>0.33811899081905589</v>
      </c>
      <c r="P11" s="25" t="s">
        <v>167</v>
      </c>
      <c r="Q11" s="28" t="s">
        <v>47</v>
      </c>
      <c r="R11" s="31">
        <v>45457</v>
      </c>
      <c r="S11" s="28" t="s">
        <v>31</v>
      </c>
      <c r="T11" s="28" t="s">
        <v>32</v>
      </c>
      <c r="U11" s="28" t="s">
        <v>57</v>
      </c>
      <c r="V11" s="33">
        <v>17183</v>
      </c>
      <c r="W11" s="35">
        <v>1224</v>
      </c>
      <c r="X11" s="35">
        <v>943</v>
      </c>
      <c r="Y11" s="35">
        <v>2010</v>
      </c>
      <c r="Z11" s="38">
        <v>21481</v>
      </c>
      <c r="AA11" s="33">
        <v>49110</v>
      </c>
      <c r="AB11" s="25" t="s">
        <v>29</v>
      </c>
      <c r="AC11" s="22">
        <f t="shared" si="1"/>
        <v>0.39401343921808185</v>
      </c>
      <c r="AE11" s="113"/>
      <c r="AF11" s="113"/>
      <c r="AG11" s="113"/>
      <c r="AH11" s="113"/>
      <c r="AI11" s="113"/>
      <c r="AJ11" s="113"/>
    </row>
    <row r="12" spans="1:36" ht="15" customHeight="1" thickBot="1" x14ac:dyDescent="0.35">
      <c r="A12" s="6" t="s">
        <v>150</v>
      </c>
      <c r="B12" s="7" t="s">
        <v>47</v>
      </c>
      <c r="C12" s="8">
        <v>45692</v>
      </c>
      <c r="D12" s="7" t="s">
        <v>39</v>
      </c>
      <c r="E12" s="7" t="s">
        <v>43</v>
      </c>
      <c r="F12" s="7" t="s">
        <v>44</v>
      </c>
      <c r="G12" s="9">
        <v>23833</v>
      </c>
      <c r="H12" s="9">
        <v>555</v>
      </c>
      <c r="I12" s="9">
        <v>523</v>
      </c>
      <c r="J12" s="9">
        <v>1330</v>
      </c>
      <c r="K12" s="10">
        <v>69141</v>
      </c>
      <c r="L12" s="9">
        <v>73997</v>
      </c>
      <c r="M12" s="6" t="s">
        <v>34</v>
      </c>
      <c r="N12" s="11">
        <f t="shared" si="0"/>
        <v>0.33664878305877266</v>
      </c>
      <c r="P12" s="25" t="s">
        <v>331</v>
      </c>
      <c r="Q12" s="28" t="s">
        <v>25</v>
      </c>
      <c r="R12" s="31">
        <v>45519</v>
      </c>
      <c r="S12" s="28" t="s">
        <v>31</v>
      </c>
      <c r="T12" s="28" t="s">
        <v>32</v>
      </c>
      <c r="U12" s="28" t="s">
        <v>33</v>
      </c>
      <c r="V12" s="33">
        <v>14977</v>
      </c>
      <c r="W12" s="35">
        <v>274</v>
      </c>
      <c r="X12" s="35">
        <v>798</v>
      </c>
      <c r="Y12" s="35">
        <v>458</v>
      </c>
      <c r="Z12" s="38">
        <v>6636</v>
      </c>
      <c r="AA12" s="33">
        <v>43654</v>
      </c>
      <c r="AB12" s="25" t="s">
        <v>18</v>
      </c>
      <c r="AC12" s="22">
        <f t="shared" si="1"/>
        <v>0.36764099509781462</v>
      </c>
      <c r="AE12" s="113"/>
      <c r="AF12" s="113"/>
      <c r="AG12" s="113"/>
      <c r="AH12" s="113"/>
      <c r="AI12" s="113"/>
      <c r="AJ12" s="113"/>
    </row>
    <row r="13" spans="1:36" ht="15" customHeight="1" thickBot="1" x14ac:dyDescent="0.35">
      <c r="A13" s="6" t="s">
        <v>218</v>
      </c>
      <c r="B13" s="7" t="s">
        <v>20</v>
      </c>
      <c r="C13" s="8">
        <v>45465</v>
      </c>
      <c r="D13" s="7" t="s">
        <v>39</v>
      </c>
      <c r="E13" s="7" t="s">
        <v>16</v>
      </c>
      <c r="F13" s="7" t="s">
        <v>17</v>
      </c>
      <c r="G13" s="9">
        <v>13479</v>
      </c>
      <c r="H13" s="9">
        <v>1189</v>
      </c>
      <c r="I13" s="9">
        <v>695</v>
      </c>
      <c r="J13" s="9">
        <v>416</v>
      </c>
      <c r="K13" s="10">
        <v>30229</v>
      </c>
      <c r="L13" s="9">
        <v>45704</v>
      </c>
      <c r="M13" s="6" t="s">
        <v>18</v>
      </c>
      <c r="N13" s="11">
        <f t="shared" si="0"/>
        <v>0.33614125678277612</v>
      </c>
      <c r="P13" s="25" t="s">
        <v>270</v>
      </c>
      <c r="Q13" s="28" t="s">
        <v>47</v>
      </c>
      <c r="R13" s="31">
        <v>45908</v>
      </c>
      <c r="S13" s="28" t="s">
        <v>26</v>
      </c>
      <c r="T13" s="28" t="s">
        <v>43</v>
      </c>
      <c r="U13" s="28" t="s">
        <v>44</v>
      </c>
      <c r="V13" s="33">
        <v>23785</v>
      </c>
      <c r="W13" s="35">
        <v>1013</v>
      </c>
      <c r="X13" s="35">
        <v>468</v>
      </c>
      <c r="Y13" s="35">
        <v>1628</v>
      </c>
      <c r="Z13" s="38">
        <v>8272</v>
      </c>
      <c r="AA13" s="33">
        <v>71348</v>
      </c>
      <c r="AB13" s="25" t="s">
        <v>23</v>
      </c>
      <c r="AC13" s="22">
        <f t="shared" si="1"/>
        <v>0.35412345125301342</v>
      </c>
      <c r="AE13" s="113"/>
      <c r="AF13" s="113"/>
      <c r="AG13" s="113"/>
      <c r="AH13" s="113"/>
      <c r="AI13" s="113"/>
      <c r="AJ13" s="113"/>
    </row>
    <row r="14" spans="1:36" ht="15" customHeight="1" thickBot="1" x14ac:dyDescent="0.35">
      <c r="A14" s="6" t="s">
        <v>298</v>
      </c>
      <c r="B14" s="7" t="s">
        <v>25</v>
      </c>
      <c r="C14" s="8">
        <v>45671</v>
      </c>
      <c r="D14" s="7" t="s">
        <v>39</v>
      </c>
      <c r="E14" s="7" t="s">
        <v>32</v>
      </c>
      <c r="F14" s="7" t="s">
        <v>57</v>
      </c>
      <c r="G14" s="9">
        <v>24350</v>
      </c>
      <c r="H14" s="9">
        <v>460</v>
      </c>
      <c r="I14" s="9">
        <v>666</v>
      </c>
      <c r="J14" s="9">
        <v>814</v>
      </c>
      <c r="K14" s="10">
        <v>21120</v>
      </c>
      <c r="L14" s="9">
        <v>76914</v>
      </c>
      <c r="M14" s="6" t="s">
        <v>18</v>
      </c>
      <c r="N14" s="11">
        <f t="shared" si="0"/>
        <v>0.33122708479600593</v>
      </c>
      <c r="P14" s="25" t="s">
        <v>275</v>
      </c>
      <c r="Q14" s="28" t="s">
        <v>47</v>
      </c>
      <c r="R14" s="31">
        <v>45909</v>
      </c>
      <c r="S14" s="28" t="s">
        <v>15</v>
      </c>
      <c r="T14" s="28" t="s">
        <v>40</v>
      </c>
      <c r="U14" s="28" t="s">
        <v>41</v>
      </c>
      <c r="V14" s="33">
        <v>19260</v>
      </c>
      <c r="W14" s="35">
        <v>668</v>
      </c>
      <c r="X14" s="35">
        <v>994</v>
      </c>
      <c r="Y14" s="35">
        <v>934</v>
      </c>
      <c r="Z14" s="38">
        <v>20509</v>
      </c>
      <c r="AA14" s="33">
        <v>61636</v>
      </c>
      <c r="AB14" s="25" t="s">
        <v>23</v>
      </c>
      <c r="AC14" s="22">
        <f t="shared" si="1"/>
        <v>0.33944448049841003</v>
      </c>
      <c r="AE14" s="113"/>
      <c r="AF14" s="113"/>
      <c r="AG14" s="113"/>
      <c r="AH14" s="113"/>
      <c r="AI14" s="113"/>
      <c r="AJ14" s="113"/>
    </row>
    <row r="15" spans="1:36" ht="15" customHeight="1" thickBot="1" x14ac:dyDescent="0.35">
      <c r="A15" s="6" t="s">
        <v>267</v>
      </c>
      <c r="B15" s="7" t="s">
        <v>47</v>
      </c>
      <c r="C15" s="8">
        <v>45608</v>
      </c>
      <c r="D15" s="7" t="s">
        <v>31</v>
      </c>
      <c r="E15" s="7" t="s">
        <v>27</v>
      </c>
      <c r="F15" s="7" t="s">
        <v>28</v>
      </c>
      <c r="G15" s="9">
        <v>17913</v>
      </c>
      <c r="H15" s="9">
        <v>1311</v>
      </c>
      <c r="I15" s="9">
        <v>859</v>
      </c>
      <c r="J15" s="9">
        <v>405</v>
      </c>
      <c r="K15" s="10">
        <v>59842</v>
      </c>
      <c r="L15" s="9">
        <v>62612</v>
      </c>
      <c r="M15" s="6" t="s">
        <v>29</v>
      </c>
      <c r="N15" s="11">
        <f t="shared" si="0"/>
        <v>0.32075321024723696</v>
      </c>
      <c r="P15" s="26" t="s">
        <v>229</v>
      </c>
      <c r="Q15" s="29" t="s">
        <v>25</v>
      </c>
      <c r="R15" s="32">
        <v>45668</v>
      </c>
      <c r="S15" s="29" t="s">
        <v>15</v>
      </c>
      <c r="T15" s="29" t="s">
        <v>21</v>
      </c>
      <c r="U15" s="29" t="s">
        <v>22</v>
      </c>
      <c r="V15" s="34">
        <v>21181</v>
      </c>
      <c r="W15" s="36">
        <v>1242</v>
      </c>
      <c r="X15" s="36">
        <v>963</v>
      </c>
      <c r="Y15" s="36">
        <v>1689</v>
      </c>
      <c r="Z15" s="39">
        <v>49329</v>
      </c>
      <c r="AA15" s="34">
        <v>69165</v>
      </c>
      <c r="AB15" s="26" t="s">
        <v>18</v>
      </c>
      <c r="AC15" s="23">
        <f t="shared" si="1"/>
        <v>0.33811899081905589</v>
      </c>
      <c r="AE15" s="113"/>
      <c r="AF15" s="113"/>
      <c r="AG15" s="113"/>
      <c r="AH15" s="113"/>
      <c r="AI15" s="113"/>
      <c r="AJ15" s="113"/>
    </row>
    <row r="16" spans="1:36" ht="21.6" customHeight="1" thickBot="1" x14ac:dyDescent="0.35">
      <c r="A16" s="6" t="s">
        <v>208</v>
      </c>
      <c r="B16" s="7" t="s">
        <v>20</v>
      </c>
      <c r="C16" s="8">
        <v>45715</v>
      </c>
      <c r="D16" s="7" t="s">
        <v>15</v>
      </c>
      <c r="E16" s="7" t="s">
        <v>21</v>
      </c>
      <c r="F16" s="7" t="s">
        <v>22</v>
      </c>
      <c r="G16" s="9">
        <v>16178</v>
      </c>
      <c r="H16" s="9">
        <v>1048</v>
      </c>
      <c r="I16" s="9">
        <v>871</v>
      </c>
      <c r="J16" s="9">
        <v>2553</v>
      </c>
      <c r="K16" s="10">
        <v>39025</v>
      </c>
      <c r="L16" s="9">
        <v>59508</v>
      </c>
      <c r="M16" s="6" t="s">
        <v>18</v>
      </c>
      <c r="N16" s="11">
        <f t="shared" si="0"/>
        <v>0.30411037171472743</v>
      </c>
      <c r="AE16" s="113"/>
      <c r="AF16" s="113"/>
      <c r="AG16" s="113"/>
      <c r="AH16" s="113"/>
      <c r="AI16" s="113"/>
      <c r="AJ16" s="113"/>
    </row>
    <row r="17" spans="1:29" ht="15" thickBot="1" x14ac:dyDescent="0.35">
      <c r="A17" s="6" t="s">
        <v>195</v>
      </c>
      <c r="B17" s="7" t="s">
        <v>14</v>
      </c>
      <c r="C17" s="8">
        <v>45499</v>
      </c>
      <c r="D17" s="7" t="s">
        <v>31</v>
      </c>
      <c r="E17" s="7" t="s">
        <v>71</v>
      </c>
      <c r="F17" s="7"/>
      <c r="G17" s="9">
        <v>18282</v>
      </c>
      <c r="H17" s="9">
        <v>224</v>
      </c>
      <c r="I17" s="9">
        <v>962</v>
      </c>
      <c r="J17" s="9">
        <v>890</v>
      </c>
      <c r="K17" s="10">
        <v>35105</v>
      </c>
      <c r="L17" s="9">
        <v>64089</v>
      </c>
      <c r="M17" s="6" t="s">
        <v>34</v>
      </c>
      <c r="N17" s="11">
        <f t="shared" si="0"/>
        <v>0.30376507669022768</v>
      </c>
    </row>
    <row r="18" spans="1:29" ht="15" thickBot="1" x14ac:dyDescent="0.35">
      <c r="A18" s="6" t="s">
        <v>184</v>
      </c>
      <c r="B18" s="7" t="s">
        <v>25</v>
      </c>
      <c r="C18" s="8">
        <v>45488</v>
      </c>
      <c r="D18" s="7" t="s">
        <v>26</v>
      </c>
      <c r="E18" s="7" t="s">
        <v>40</v>
      </c>
      <c r="F18" s="7" t="s">
        <v>41</v>
      </c>
      <c r="G18" s="9">
        <v>14891</v>
      </c>
      <c r="H18" s="9">
        <v>674</v>
      </c>
      <c r="I18" s="9">
        <v>521</v>
      </c>
      <c r="J18" s="9">
        <v>1091</v>
      </c>
      <c r="K18" s="10">
        <v>18101</v>
      </c>
      <c r="L18" s="9">
        <v>53669</v>
      </c>
      <c r="M18" s="6" t="s">
        <v>18</v>
      </c>
      <c r="N18" s="11">
        <f t="shared" si="0"/>
        <v>0.29972609886526674</v>
      </c>
    </row>
    <row r="19" spans="1:29" ht="15.6" thickTop="1" thickBot="1" x14ac:dyDescent="0.35">
      <c r="A19" s="6" t="s">
        <v>127</v>
      </c>
      <c r="B19" s="7" t="s">
        <v>25</v>
      </c>
      <c r="C19" s="8">
        <v>45580</v>
      </c>
      <c r="D19" s="7" t="s">
        <v>39</v>
      </c>
      <c r="E19" s="7" t="s">
        <v>37</v>
      </c>
      <c r="F19" s="7"/>
      <c r="G19" s="9">
        <v>17781</v>
      </c>
      <c r="H19" s="9">
        <v>993</v>
      </c>
      <c r="I19" s="9">
        <v>627</v>
      </c>
      <c r="J19" s="9">
        <v>2187</v>
      </c>
      <c r="K19" s="10">
        <v>9609</v>
      </c>
      <c r="L19" s="9">
        <v>66155</v>
      </c>
      <c r="M19" s="6" t="s">
        <v>34</v>
      </c>
      <c r="N19" s="11">
        <f t="shared" si="0"/>
        <v>0.29326581513113142</v>
      </c>
      <c r="P19" s="108" t="s">
        <v>366</v>
      </c>
      <c r="Q19" s="109"/>
      <c r="R19" s="109"/>
      <c r="S19" s="109"/>
      <c r="T19" s="109"/>
      <c r="U19" s="109"/>
      <c r="V19" s="109"/>
      <c r="W19" s="109"/>
      <c r="X19" s="109"/>
      <c r="Y19" s="109"/>
      <c r="Z19" s="109"/>
      <c r="AA19" s="109"/>
      <c r="AB19" s="109"/>
    </row>
    <row r="20" spans="1:29" ht="15.6" thickTop="1" thickBot="1" x14ac:dyDescent="0.35">
      <c r="A20" s="6" t="s">
        <v>240</v>
      </c>
      <c r="B20" s="7" t="s">
        <v>47</v>
      </c>
      <c r="C20" s="8">
        <v>45918</v>
      </c>
      <c r="D20" s="7" t="s">
        <v>26</v>
      </c>
      <c r="E20" s="7" t="s">
        <v>71</v>
      </c>
      <c r="F20" s="7"/>
      <c r="G20" s="9">
        <v>10152</v>
      </c>
      <c r="H20" s="9">
        <v>1445</v>
      </c>
      <c r="I20" s="9">
        <v>526</v>
      </c>
      <c r="J20" s="9">
        <v>513</v>
      </c>
      <c r="K20" s="10">
        <v>18959</v>
      </c>
      <c r="L20" s="9">
        <v>43712</v>
      </c>
      <c r="M20" s="6" t="s">
        <v>23</v>
      </c>
      <c r="N20" s="11">
        <f t="shared" si="0"/>
        <v>0.27733803074670571</v>
      </c>
      <c r="P20" s="109"/>
      <c r="Q20" s="109"/>
      <c r="R20" s="109"/>
      <c r="S20" s="109"/>
      <c r="T20" s="109"/>
      <c r="U20" s="109"/>
      <c r="V20" s="109"/>
      <c r="W20" s="109"/>
      <c r="X20" s="109"/>
      <c r="Y20" s="109"/>
      <c r="Z20" s="109"/>
      <c r="AA20" s="109"/>
      <c r="AB20" s="109"/>
    </row>
    <row r="21" spans="1:29" ht="15.6" thickTop="1" thickBot="1" x14ac:dyDescent="0.35">
      <c r="A21" s="6" t="s">
        <v>180</v>
      </c>
      <c r="B21" s="7" t="s">
        <v>25</v>
      </c>
      <c r="C21" s="8">
        <v>45932</v>
      </c>
      <c r="D21" s="7" t="s">
        <v>39</v>
      </c>
      <c r="E21" s="7" t="s">
        <v>27</v>
      </c>
      <c r="F21" s="7" t="s">
        <v>28</v>
      </c>
      <c r="G21" s="9">
        <v>12161</v>
      </c>
      <c r="H21" s="9">
        <v>736</v>
      </c>
      <c r="I21" s="9">
        <v>876</v>
      </c>
      <c r="J21" s="9">
        <v>1233</v>
      </c>
      <c r="K21" s="10">
        <v>21337</v>
      </c>
      <c r="L21" s="9">
        <v>50225</v>
      </c>
      <c r="M21" s="6" t="s">
        <v>23</v>
      </c>
      <c r="N21" s="11">
        <f t="shared" si="0"/>
        <v>0.27422598307615731</v>
      </c>
      <c r="P21" s="110" t="s">
        <v>367</v>
      </c>
      <c r="Q21" s="111"/>
      <c r="R21" s="111"/>
      <c r="S21" s="111"/>
      <c r="T21" s="111"/>
      <c r="U21" s="110" t="s">
        <v>368</v>
      </c>
      <c r="V21" s="111"/>
      <c r="W21" s="111"/>
      <c r="X21" s="111"/>
      <c r="Y21" s="111"/>
      <c r="Z21" s="111"/>
      <c r="AA21" s="111"/>
      <c r="AB21" s="111"/>
    </row>
    <row r="22" spans="1:29" ht="15.6" thickTop="1" thickBot="1" x14ac:dyDescent="0.35">
      <c r="A22" s="6" t="s">
        <v>35</v>
      </c>
      <c r="B22" s="7" t="s">
        <v>14</v>
      </c>
      <c r="C22" s="8">
        <v>45904</v>
      </c>
      <c r="D22" s="7" t="s">
        <v>31</v>
      </c>
      <c r="E22" s="7" t="s">
        <v>16</v>
      </c>
      <c r="F22" s="7" t="s">
        <v>17</v>
      </c>
      <c r="G22" s="9">
        <v>21708</v>
      </c>
      <c r="H22" s="9">
        <v>435</v>
      </c>
      <c r="I22" s="9">
        <v>317</v>
      </c>
      <c r="J22" s="9">
        <v>1213</v>
      </c>
      <c r="K22" s="10">
        <v>70701</v>
      </c>
      <c r="L22" s="9">
        <v>83585</v>
      </c>
      <c r="M22" s="6" t="s">
        <v>23</v>
      </c>
      <c r="N22" s="11">
        <f t="shared" si="0"/>
        <v>0.26870850032900639</v>
      </c>
      <c r="P22" s="111"/>
      <c r="Q22" s="111"/>
      <c r="R22" s="111"/>
      <c r="S22" s="111"/>
      <c r="T22" s="111"/>
      <c r="U22" s="111"/>
      <c r="V22" s="111"/>
      <c r="W22" s="111"/>
      <c r="X22" s="111"/>
      <c r="Y22" s="111"/>
      <c r="Z22" s="111"/>
      <c r="AA22" s="111"/>
      <c r="AB22" s="111"/>
    </row>
    <row r="23" spans="1:29" ht="15" customHeight="1" thickBot="1" x14ac:dyDescent="0.35">
      <c r="A23" s="6" t="s">
        <v>124</v>
      </c>
      <c r="B23" s="7" t="s">
        <v>20</v>
      </c>
      <c r="C23" s="8">
        <v>45456</v>
      </c>
      <c r="D23" s="7" t="s">
        <v>15</v>
      </c>
      <c r="E23" s="7" t="s">
        <v>16</v>
      </c>
      <c r="F23" s="7" t="s">
        <v>17</v>
      </c>
      <c r="G23" s="9">
        <v>14173</v>
      </c>
      <c r="H23" s="9">
        <v>294</v>
      </c>
      <c r="I23" s="9">
        <v>257</v>
      </c>
      <c r="J23" s="9">
        <v>1288</v>
      </c>
      <c r="K23" s="10">
        <v>39466</v>
      </c>
      <c r="L23" s="9">
        <v>55563</v>
      </c>
      <c r="M23" s="6" t="s">
        <v>52</v>
      </c>
      <c r="N23" s="11">
        <f t="shared" si="0"/>
        <v>0.26499649047027696</v>
      </c>
      <c r="P23" s="116" t="s">
        <v>369</v>
      </c>
      <c r="Q23" s="116"/>
      <c r="R23" s="116"/>
      <c r="S23" s="116"/>
      <c r="T23" s="116"/>
      <c r="U23" s="118" t="s">
        <v>370</v>
      </c>
      <c r="V23" s="119"/>
      <c r="W23" s="119"/>
      <c r="X23" s="119"/>
      <c r="Y23" s="119"/>
      <c r="Z23" s="119"/>
      <c r="AA23" s="119"/>
      <c r="AB23" s="120"/>
      <c r="AC23" s="20"/>
    </row>
    <row r="24" spans="1:29" ht="15.6" thickTop="1" thickBot="1" x14ac:dyDescent="0.35">
      <c r="A24" s="6" t="s">
        <v>194</v>
      </c>
      <c r="B24" s="7" t="s">
        <v>20</v>
      </c>
      <c r="C24" s="8">
        <v>45526</v>
      </c>
      <c r="D24" s="7" t="s">
        <v>31</v>
      </c>
      <c r="E24" s="7" t="s">
        <v>62</v>
      </c>
      <c r="F24" s="7" t="s">
        <v>37</v>
      </c>
      <c r="G24" s="9">
        <v>16124</v>
      </c>
      <c r="H24" s="9">
        <v>863</v>
      </c>
      <c r="I24" s="9">
        <v>337</v>
      </c>
      <c r="J24" s="9">
        <v>819</v>
      </c>
      <c r="K24" s="10">
        <v>85788</v>
      </c>
      <c r="L24" s="9">
        <v>68625</v>
      </c>
      <c r="M24" s="6" t="s">
        <v>34</v>
      </c>
      <c r="N24" s="11">
        <f t="shared" si="0"/>
        <v>0.25244444444444447</v>
      </c>
      <c r="P24" s="117"/>
      <c r="Q24" s="117"/>
      <c r="R24" s="117"/>
      <c r="S24" s="117"/>
      <c r="T24" s="117"/>
      <c r="U24" s="121" t="s">
        <v>371</v>
      </c>
      <c r="V24" s="122"/>
      <c r="W24" s="122"/>
      <c r="X24" s="122"/>
      <c r="Y24" s="122"/>
      <c r="Z24" s="122"/>
      <c r="AA24" s="122"/>
      <c r="AB24" s="123"/>
      <c r="AC24" s="20"/>
    </row>
    <row r="25" spans="1:29" ht="15.6" thickTop="1" thickBot="1" x14ac:dyDescent="0.35">
      <c r="A25" s="6" t="s">
        <v>264</v>
      </c>
      <c r="B25" s="7" t="s">
        <v>14</v>
      </c>
      <c r="C25" s="8">
        <v>45445</v>
      </c>
      <c r="D25" s="7" t="s">
        <v>31</v>
      </c>
      <c r="E25" s="7" t="s">
        <v>21</v>
      </c>
      <c r="F25" s="7" t="s">
        <v>22</v>
      </c>
      <c r="G25" s="9">
        <v>14199</v>
      </c>
      <c r="H25" s="9">
        <v>1206</v>
      </c>
      <c r="I25" s="9">
        <v>954</v>
      </c>
      <c r="J25" s="9">
        <v>2009</v>
      </c>
      <c r="K25" s="10">
        <v>8</v>
      </c>
      <c r="L25" s="9">
        <v>65537</v>
      </c>
      <c r="M25" s="6" t="s">
        <v>29</v>
      </c>
      <c r="N25" s="11">
        <f t="shared" si="0"/>
        <v>0.24961472145505592</v>
      </c>
      <c r="P25" s="117"/>
      <c r="Q25" s="117"/>
      <c r="R25" s="117"/>
      <c r="S25" s="117"/>
      <c r="T25" s="117"/>
      <c r="U25" s="124"/>
      <c r="V25" s="125"/>
      <c r="W25" s="125"/>
      <c r="X25" s="125"/>
      <c r="Y25" s="125"/>
      <c r="Z25" s="125"/>
      <c r="AA25" s="125"/>
      <c r="AB25" s="126"/>
      <c r="AC25" s="20"/>
    </row>
    <row r="26" spans="1:29" ht="15.6" thickTop="1" thickBot="1" x14ac:dyDescent="0.35">
      <c r="A26" s="6" t="s">
        <v>61</v>
      </c>
      <c r="B26" s="7" t="s">
        <v>47</v>
      </c>
      <c r="C26" s="8">
        <v>45908</v>
      </c>
      <c r="D26" s="7" t="s">
        <v>39</v>
      </c>
      <c r="E26" s="7" t="s">
        <v>62</v>
      </c>
      <c r="F26" s="7" t="s">
        <v>37</v>
      </c>
      <c r="G26" s="9">
        <v>22309</v>
      </c>
      <c r="H26" s="9">
        <v>773</v>
      </c>
      <c r="I26" s="9">
        <v>854</v>
      </c>
      <c r="J26" s="9">
        <v>2387</v>
      </c>
      <c r="K26" s="10">
        <v>72396</v>
      </c>
      <c r="L26" s="9">
        <v>97056</v>
      </c>
      <c r="M26" s="6" t="s">
        <v>23</v>
      </c>
      <c r="N26" s="11">
        <f t="shared" si="0"/>
        <v>0.24662050774810418</v>
      </c>
      <c r="P26" s="117" t="s">
        <v>372</v>
      </c>
      <c r="Q26" s="132"/>
      <c r="R26" s="132"/>
      <c r="S26" s="132"/>
      <c r="T26" s="132"/>
      <c r="U26" s="133" t="s">
        <v>373</v>
      </c>
      <c r="V26" s="134"/>
      <c r="W26" s="134"/>
      <c r="X26" s="134"/>
      <c r="Y26" s="134"/>
      <c r="Z26" s="134"/>
      <c r="AA26" s="134"/>
      <c r="AB26" s="135"/>
      <c r="AC26" s="20"/>
    </row>
    <row r="27" spans="1:29" ht="15.6" thickTop="1" thickBot="1" x14ac:dyDescent="0.35">
      <c r="A27" s="6" t="s">
        <v>288</v>
      </c>
      <c r="B27" s="7" t="s">
        <v>25</v>
      </c>
      <c r="C27" s="8">
        <v>45913</v>
      </c>
      <c r="D27" s="7" t="s">
        <v>31</v>
      </c>
      <c r="E27" s="7" t="s">
        <v>62</v>
      </c>
      <c r="F27" s="7" t="s">
        <v>37</v>
      </c>
      <c r="G27" s="9">
        <v>15046</v>
      </c>
      <c r="H27" s="9">
        <v>281</v>
      </c>
      <c r="I27" s="9">
        <v>515</v>
      </c>
      <c r="J27" s="9">
        <v>550</v>
      </c>
      <c r="K27" s="10">
        <v>22583</v>
      </c>
      <c r="L27" s="9">
        <v>64596</v>
      </c>
      <c r="M27" s="6" t="s">
        <v>23</v>
      </c>
      <c r="N27" s="11">
        <f t="shared" si="0"/>
        <v>0.24524738373893121</v>
      </c>
      <c r="P27" s="132"/>
      <c r="Q27" s="132"/>
      <c r="R27" s="132"/>
      <c r="S27" s="132"/>
      <c r="T27" s="132"/>
      <c r="U27" s="136"/>
      <c r="V27" s="137"/>
      <c r="W27" s="137"/>
      <c r="X27" s="137"/>
      <c r="Y27" s="137"/>
      <c r="Z27" s="137"/>
      <c r="AA27" s="137"/>
      <c r="AB27" s="138"/>
      <c r="AC27" s="20"/>
    </row>
    <row r="28" spans="1:29" ht="15" customHeight="1" thickTop="1" thickBot="1" x14ac:dyDescent="0.35">
      <c r="A28" s="6" t="s">
        <v>118</v>
      </c>
      <c r="B28" s="7" t="s">
        <v>47</v>
      </c>
      <c r="C28" s="8">
        <v>45603</v>
      </c>
      <c r="D28" s="7" t="s">
        <v>39</v>
      </c>
      <c r="E28" s="7" t="s">
        <v>37</v>
      </c>
      <c r="F28" s="7"/>
      <c r="G28" s="9">
        <v>17254</v>
      </c>
      <c r="H28" s="9">
        <v>246</v>
      </c>
      <c r="I28" s="9">
        <v>952</v>
      </c>
      <c r="J28" s="9">
        <v>871</v>
      </c>
      <c r="K28" s="10">
        <v>14957</v>
      </c>
      <c r="L28" s="9">
        <v>75946</v>
      </c>
      <c r="M28" s="6" t="s">
        <v>52</v>
      </c>
      <c r="N28" s="11">
        <f t="shared" si="0"/>
        <v>0.24296210465330631</v>
      </c>
      <c r="P28" s="139" t="s">
        <v>375</v>
      </c>
      <c r="Q28" s="140"/>
      <c r="R28" s="140"/>
      <c r="S28" s="140"/>
      <c r="T28" s="140"/>
      <c r="U28" s="141" t="s">
        <v>374</v>
      </c>
      <c r="V28" s="142"/>
      <c r="W28" s="142"/>
      <c r="X28" s="142"/>
      <c r="Y28" s="142"/>
      <c r="Z28" s="142"/>
      <c r="AA28" s="142"/>
      <c r="AB28" s="143"/>
      <c r="AC28" s="20"/>
    </row>
    <row r="29" spans="1:29" ht="15.6" thickTop="1" thickBot="1" x14ac:dyDescent="0.35">
      <c r="A29" s="6" t="s">
        <v>260</v>
      </c>
      <c r="B29" s="7" t="s">
        <v>25</v>
      </c>
      <c r="C29" s="8">
        <v>45502</v>
      </c>
      <c r="D29" s="7" t="s">
        <v>26</v>
      </c>
      <c r="E29" s="7" t="s">
        <v>16</v>
      </c>
      <c r="F29" s="7" t="s">
        <v>17</v>
      </c>
      <c r="G29" s="9">
        <v>22590</v>
      </c>
      <c r="H29" s="9">
        <v>1462</v>
      </c>
      <c r="I29" s="9">
        <v>966</v>
      </c>
      <c r="J29" s="9">
        <v>2463</v>
      </c>
      <c r="K29" s="10">
        <v>29689</v>
      </c>
      <c r="L29" s="9">
        <v>103449</v>
      </c>
      <c r="M29" s="6" t="s">
        <v>29</v>
      </c>
      <c r="N29" s="11">
        <f t="shared" si="0"/>
        <v>0.24183897379385011</v>
      </c>
      <c r="P29" s="140"/>
      <c r="Q29" s="140"/>
      <c r="R29" s="140"/>
      <c r="S29" s="140"/>
      <c r="T29" s="140"/>
      <c r="U29" s="144"/>
      <c r="V29" s="122"/>
      <c r="W29" s="122"/>
      <c r="X29" s="122"/>
      <c r="Y29" s="122"/>
      <c r="Z29" s="122"/>
      <c r="AA29" s="122"/>
      <c r="AB29" s="123"/>
      <c r="AC29" s="20"/>
    </row>
    <row r="30" spans="1:29" ht="15.6" thickTop="1" thickBot="1" x14ac:dyDescent="0.35">
      <c r="A30" s="6" t="s">
        <v>93</v>
      </c>
      <c r="B30" s="7" t="s">
        <v>14</v>
      </c>
      <c r="C30" s="8">
        <v>45456</v>
      </c>
      <c r="D30" s="7" t="s">
        <v>39</v>
      </c>
      <c r="E30" s="7" t="s">
        <v>43</v>
      </c>
      <c r="F30" s="7" t="s">
        <v>44</v>
      </c>
      <c r="G30" s="9">
        <v>23164</v>
      </c>
      <c r="H30" s="9">
        <v>1122</v>
      </c>
      <c r="I30" s="9">
        <v>900</v>
      </c>
      <c r="J30" s="9">
        <v>888</v>
      </c>
      <c r="K30" s="10">
        <v>36938</v>
      </c>
      <c r="L30" s="9">
        <v>104674</v>
      </c>
      <c r="M30" s="6" t="s">
        <v>18</v>
      </c>
      <c r="N30" s="11">
        <f t="shared" si="0"/>
        <v>0.24061371496264594</v>
      </c>
      <c r="P30" s="140"/>
      <c r="Q30" s="140"/>
      <c r="R30" s="140"/>
      <c r="S30" s="140"/>
      <c r="T30" s="140"/>
      <c r="U30" s="145" t="s">
        <v>377</v>
      </c>
      <c r="V30" s="122"/>
      <c r="W30" s="122"/>
      <c r="X30" s="122"/>
      <c r="Y30" s="122"/>
      <c r="Z30" s="122"/>
      <c r="AA30" s="122"/>
      <c r="AB30" s="123"/>
      <c r="AC30" s="20"/>
    </row>
    <row r="31" spans="1:29" ht="15.6" thickTop="1" thickBot="1" x14ac:dyDescent="0.35">
      <c r="A31" s="6" t="s">
        <v>36</v>
      </c>
      <c r="B31" s="7" t="s">
        <v>20</v>
      </c>
      <c r="C31" s="8">
        <v>45905</v>
      </c>
      <c r="D31" s="7" t="s">
        <v>15</v>
      </c>
      <c r="E31" s="7" t="s">
        <v>37</v>
      </c>
      <c r="F31" s="7"/>
      <c r="G31" s="9">
        <v>14677</v>
      </c>
      <c r="H31" s="9">
        <v>533</v>
      </c>
      <c r="I31" s="9">
        <v>759</v>
      </c>
      <c r="J31" s="9">
        <v>753</v>
      </c>
      <c r="K31" s="10">
        <v>23275</v>
      </c>
      <c r="L31" s="9">
        <v>66958</v>
      </c>
      <c r="M31" s="6" t="s">
        <v>23</v>
      </c>
      <c r="N31" s="11">
        <f t="shared" si="0"/>
        <v>0.23849278652289496</v>
      </c>
      <c r="P31" s="140"/>
      <c r="Q31" s="140"/>
      <c r="R31" s="140"/>
      <c r="S31" s="140"/>
      <c r="T31" s="140"/>
      <c r="U31" s="146"/>
      <c r="V31" s="147"/>
      <c r="W31" s="147"/>
      <c r="X31" s="147"/>
      <c r="Y31" s="147"/>
      <c r="Z31" s="147"/>
      <c r="AA31" s="147"/>
      <c r="AB31" s="148"/>
      <c r="AC31" s="20"/>
    </row>
    <row r="32" spans="1:29" ht="15.6" thickTop="1" thickBot="1" x14ac:dyDescent="0.35">
      <c r="A32" s="6" t="s">
        <v>333</v>
      </c>
      <c r="B32" s="7" t="s">
        <v>25</v>
      </c>
      <c r="C32" s="8">
        <v>45624</v>
      </c>
      <c r="D32" s="7" t="s">
        <v>39</v>
      </c>
      <c r="E32" s="7" t="s">
        <v>40</v>
      </c>
      <c r="F32" s="7" t="s">
        <v>41</v>
      </c>
      <c r="G32" s="9">
        <v>18644</v>
      </c>
      <c r="H32" s="9">
        <v>1369</v>
      </c>
      <c r="I32" s="9">
        <v>887</v>
      </c>
      <c r="J32" s="9">
        <v>1256</v>
      </c>
      <c r="K32" s="10">
        <v>43415</v>
      </c>
      <c r="L32" s="9">
        <v>88368</v>
      </c>
      <c r="M32" s="6" t="s">
        <v>29</v>
      </c>
      <c r="N32" s="11">
        <f t="shared" si="0"/>
        <v>0.23651095419156257</v>
      </c>
      <c r="P32" s="127" t="s">
        <v>376</v>
      </c>
      <c r="Q32" s="128"/>
      <c r="R32" s="128"/>
      <c r="S32" s="128"/>
      <c r="T32" s="129"/>
      <c r="U32" s="130" t="s">
        <v>378</v>
      </c>
      <c r="V32" s="131"/>
      <c r="W32" s="131"/>
      <c r="X32" s="131"/>
      <c r="Y32" s="131"/>
      <c r="Z32" s="131"/>
      <c r="AA32" s="131"/>
      <c r="AB32" s="131"/>
    </row>
    <row r="33" spans="1:28" ht="15.6" thickTop="1" thickBot="1" x14ac:dyDescent="0.35">
      <c r="A33" s="6" t="s">
        <v>230</v>
      </c>
      <c r="B33" s="7" t="s">
        <v>25</v>
      </c>
      <c r="C33" s="8">
        <v>45528</v>
      </c>
      <c r="D33" s="7" t="s">
        <v>31</v>
      </c>
      <c r="E33" s="7" t="s">
        <v>27</v>
      </c>
      <c r="F33" s="7" t="s">
        <v>28</v>
      </c>
      <c r="G33" s="9">
        <v>24890</v>
      </c>
      <c r="H33" s="9">
        <v>217</v>
      </c>
      <c r="I33" s="9">
        <v>178</v>
      </c>
      <c r="J33" s="9">
        <v>906</v>
      </c>
      <c r="K33" s="10">
        <v>54826</v>
      </c>
      <c r="L33" s="9">
        <v>107203</v>
      </c>
      <c r="M33" s="6" t="s">
        <v>29</v>
      </c>
      <c r="N33" s="11">
        <f t="shared" si="0"/>
        <v>0.23586093672751696</v>
      </c>
      <c r="P33" s="128"/>
      <c r="Q33" s="128"/>
      <c r="R33" s="128"/>
      <c r="S33" s="128"/>
      <c r="T33" s="129"/>
      <c r="U33" s="131"/>
      <c r="V33" s="131"/>
      <c r="W33" s="131"/>
      <c r="X33" s="131"/>
      <c r="Y33" s="131"/>
      <c r="Z33" s="131"/>
      <c r="AA33" s="131"/>
      <c r="AB33" s="131"/>
    </row>
    <row r="34" spans="1:28" ht="15" thickBot="1" x14ac:dyDescent="0.35">
      <c r="A34" s="6" t="s">
        <v>103</v>
      </c>
      <c r="B34" s="7" t="s">
        <v>14</v>
      </c>
      <c r="C34" s="8">
        <v>45540</v>
      </c>
      <c r="D34" s="7" t="s">
        <v>39</v>
      </c>
      <c r="E34" s="7" t="s">
        <v>71</v>
      </c>
      <c r="F34" s="7"/>
      <c r="G34" s="9">
        <v>16489</v>
      </c>
      <c r="H34" s="9">
        <v>395</v>
      </c>
      <c r="I34" s="9">
        <v>350</v>
      </c>
      <c r="J34" s="9">
        <v>2364</v>
      </c>
      <c r="K34" s="10">
        <v>43239</v>
      </c>
      <c r="L34" s="9">
        <v>73397</v>
      </c>
      <c r="M34" s="6" t="s">
        <v>52</v>
      </c>
      <c r="N34" s="11">
        <f t="shared" si="0"/>
        <v>0.23480523727127811</v>
      </c>
    </row>
    <row r="35" spans="1:28" ht="15" thickBot="1" x14ac:dyDescent="0.35">
      <c r="A35" s="6" t="s">
        <v>330</v>
      </c>
      <c r="B35" s="7" t="s">
        <v>14</v>
      </c>
      <c r="C35" s="8">
        <v>45919</v>
      </c>
      <c r="D35" s="7" t="s">
        <v>26</v>
      </c>
      <c r="E35" s="7" t="s">
        <v>43</v>
      </c>
      <c r="F35" s="7" t="s">
        <v>44</v>
      </c>
      <c r="G35" s="9">
        <v>22128</v>
      </c>
      <c r="H35" s="9">
        <v>1004</v>
      </c>
      <c r="I35" s="9">
        <v>690</v>
      </c>
      <c r="J35" s="9">
        <v>2048</v>
      </c>
      <c r="K35" s="10">
        <v>19443</v>
      </c>
      <c r="L35" s="9">
        <v>103646</v>
      </c>
      <c r="M35" s="6" t="s">
        <v>23</v>
      </c>
      <c r="N35" s="11">
        <f t="shared" si="0"/>
        <v>0.22984003241803833</v>
      </c>
    </row>
    <row r="36" spans="1:28" ht="15" thickBot="1" x14ac:dyDescent="0.35">
      <c r="A36" s="6" t="s">
        <v>149</v>
      </c>
      <c r="B36" s="7" t="s">
        <v>47</v>
      </c>
      <c r="C36" s="8">
        <v>45457</v>
      </c>
      <c r="D36" s="7" t="s">
        <v>39</v>
      </c>
      <c r="E36" s="7" t="s">
        <v>48</v>
      </c>
      <c r="F36" s="7" t="s">
        <v>32</v>
      </c>
      <c r="G36" s="9">
        <v>21856</v>
      </c>
      <c r="H36" s="9">
        <v>1203</v>
      </c>
      <c r="I36" s="9">
        <v>634</v>
      </c>
      <c r="J36" s="9">
        <v>2807</v>
      </c>
      <c r="K36" s="10">
        <v>3647</v>
      </c>
      <c r="L36" s="9">
        <v>104178</v>
      </c>
      <c r="M36" s="6" t="s">
        <v>34</v>
      </c>
      <c r="N36" s="11">
        <f t="shared" si="0"/>
        <v>0.22742805582752595</v>
      </c>
    </row>
    <row r="37" spans="1:28" ht="15" thickBot="1" x14ac:dyDescent="0.35">
      <c r="A37" s="6" t="s">
        <v>163</v>
      </c>
      <c r="B37" s="7" t="s">
        <v>20</v>
      </c>
      <c r="C37" s="8">
        <v>45695</v>
      </c>
      <c r="D37" s="7" t="s">
        <v>39</v>
      </c>
      <c r="E37" s="7" t="s">
        <v>122</v>
      </c>
      <c r="F37" s="7" t="s">
        <v>123</v>
      </c>
      <c r="G37" s="9">
        <v>20290</v>
      </c>
      <c r="H37" s="9">
        <v>619</v>
      </c>
      <c r="I37" s="9">
        <v>927</v>
      </c>
      <c r="J37" s="9">
        <v>1186</v>
      </c>
      <c r="K37" s="10">
        <v>8924</v>
      </c>
      <c r="L37" s="9">
        <v>96503</v>
      </c>
      <c r="M37" s="6" t="s">
        <v>52</v>
      </c>
      <c r="N37" s="11">
        <f t="shared" si="0"/>
        <v>0.22627275835984373</v>
      </c>
    </row>
    <row r="38" spans="1:28" ht="15" thickBot="1" x14ac:dyDescent="0.35">
      <c r="A38" s="6" t="s">
        <v>214</v>
      </c>
      <c r="B38" s="7" t="s">
        <v>47</v>
      </c>
      <c r="C38" s="8">
        <v>45775</v>
      </c>
      <c r="D38" s="7" t="s">
        <v>39</v>
      </c>
      <c r="E38" s="7" t="s">
        <v>62</v>
      </c>
      <c r="F38" s="7" t="s">
        <v>37</v>
      </c>
      <c r="G38" s="9">
        <v>15013</v>
      </c>
      <c r="H38" s="9">
        <v>1286</v>
      </c>
      <c r="I38" s="9">
        <v>599</v>
      </c>
      <c r="J38" s="9">
        <v>2001</v>
      </c>
      <c r="K38" s="10">
        <v>67839</v>
      </c>
      <c r="L38" s="9">
        <v>76059</v>
      </c>
      <c r="M38" s="6" t="s">
        <v>18</v>
      </c>
      <c r="N38" s="11">
        <f t="shared" si="0"/>
        <v>0.22216963147030594</v>
      </c>
    </row>
    <row r="39" spans="1:28" ht="15" thickBot="1" x14ac:dyDescent="0.35">
      <c r="A39" s="6" t="s">
        <v>88</v>
      </c>
      <c r="B39" s="7" t="s">
        <v>20</v>
      </c>
      <c r="C39" s="8">
        <v>45779</v>
      </c>
      <c r="D39" s="7" t="s">
        <v>26</v>
      </c>
      <c r="E39" s="7" t="s">
        <v>32</v>
      </c>
      <c r="F39" s="7" t="s">
        <v>57</v>
      </c>
      <c r="G39" s="9">
        <v>17444</v>
      </c>
      <c r="H39" s="9">
        <v>1402</v>
      </c>
      <c r="I39" s="9">
        <v>218</v>
      </c>
      <c r="J39" s="9">
        <v>725</v>
      </c>
      <c r="K39" s="10">
        <v>8710</v>
      </c>
      <c r="L39" s="9">
        <v>85893</v>
      </c>
      <c r="M39" s="6" t="s">
        <v>52</v>
      </c>
      <c r="N39" s="11">
        <f t="shared" si="0"/>
        <v>0.22195056640238436</v>
      </c>
    </row>
    <row r="40" spans="1:28" ht="15" thickBot="1" x14ac:dyDescent="0.35">
      <c r="A40" s="6" t="s">
        <v>231</v>
      </c>
      <c r="B40" s="7" t="s">
        <v>47</v>
      </c>
      <c r="C40" s="8">
        <v>45648</v>
      </c>
      <c r="D40" s="7" t="s">
        <v>26</v>
      </c>
      <c r="E40" s="7" t="s">
        <v>122</v>
      </c>
      <c r="F40" s="7" t="s">
        <v>123</v>
      </c>
      <c r="G40" s="9">
        <v>7870</v>
      </c>
      <c r="H40" s="9">
        <v>968</v>
      </c>
      <c r="I40" s="9">
        <v>626</v>
      </c>
      <c r="J40" s="9">
        <v>465</v>
      </c>
      <c r="K40" s="10">
        <v>27184</v>
      </c>
      <c r="L40" s="9">
        <v>44114</v>
      </c>
      <c r="M40" s="6" t="s">
        <v>52</v>
      </c>
      <c r="N40" s="11">
        <f t="shared" si="0"/>
        <v>0.2145350682323072</v>
      </c>
    </row>
    <row r="41" spans="1:28" ht="15" thickBot="1" x14ac:dyDescent="0.35">
      <c r="A41" s="6" t="s">
        <v>234</v>
      </c>
      <c r="B41" s="7" t="s">
        <v>47</v>
      </c>
      <c r="C41" s="8">
        <v>45569</v>
      </c>
      <c r="D41" s="7" t="s">
        <v>15</v>
      </c>
      <c r="E41" s="7" t="s">
        <v>40</v>
      </c>
      <c r="F41" s="7" t="s">
        <v>41</v>
      </c>
      <c r="G41" s="9">
        <v>21729</v>
      </c>
      <c r="H41" s="9">
        <v>1209</v>
      </c>
      <c r="I41" s="9">
        <v>897</v>
      </c>
      <c r="J41" s="9">
        <v>1624</v>
      </c>
      <c r="K41" s="10">
        <v>38771</v>
      </c>
      <c r="L41" s="9">
        <v>113297</v>
      </c>
      <c r="M41" s="6" t="s">
        <v>34</v>
      </c>
      <c r="N41" s="11">
        <f t="shared" si="0"/>
        <v>0.21037626768581694</v>
      </c>
    </row>
    <row r="42" spans="1:28" ht="15" thickBot="1" x14ac:dyDescent="0.35">
      <c r="A42" s="6" t="s">
        <v>295</v>
      </c>
      <c r="B42" s="7" t="s">
        <v>47</v>
      </c>
      <c r="C42" s="8">
        <v>45915</v>
      </c>
      <c r="D42" s="7" t="s">
        <v>15</v>
      </c>
      <c r="E42" s="7" t="s">
        <v>40</v>
      </c>
      <c r="F42" s="7" t="s">
        <v>41</v>
      </c>
      <c r="G42" s="9">
        <v>18389</v>
      </c>
      <c r="H42" s="9">
        <v>670</v>
      </c>
      <c r="I42" s="9">
        <v>655</v>
      </c>
      <c r="J42" s="9">
        <v>321</v>
      </c>
      <c r="K42" s="10">
        <v>21869</v>
      </c>
      <c r="L42" s="9">
        <v>96088</v>
      </c>
      <c r="M42" s="6" t="s">
        <v>23</v>
      </c>
      <c r="N42" s="11">
        <f t="shared" si="0"/>
        <v>0.2051660977437349</v>
      </c>
    </row>
    <row r="43" spans="1:28" ht="15" thickBot="1" x14ac:dyDescent="0.35">
      <c r="A43" s="6" t="s">
        <v>116</v>
      </c>
      <c r="B43" s="7" t="s">
        <v>47</v>
      </c>
      <c r="C43" s="8">
        <v>45593</v>
      </c>
      <c r="D43" s="7" t="s">
        <v>39</v>
      </c>
      <c r="E43" s="7" t="s">
        <v>32</v>
      </c>
      <c r="F43" s="7" t="s">
        <v>33</v>
      </c>
      <c r="G43" s="9">
        <v>21198</v>
      </c>
      <c r="H43" s="9">
        <v>1484</v>
      </c>
      <c r="I43" s="9">
        <v>174</v>
      </c>
      <c r="J43" s="9">
        <v>1293</v>
      </c>
      <c r="K43" s="10">
        <v>16330</v>
      </c>
      <c r="L43" s="9">
        <v>111635</v>
      </c>
      <c r="M43" s="6" t="s">
        <v>34</v>
      </c>
      <c r="N43" s="11">
        <f t="shared" si="0"/>
        <v>0.20473865723115511</v>
      </c>
    </row>
    <row r="44" spans="1:28" ht="15" thickBot="1" x14ac:dyDescent="0.35">
      <c r="A44" s="6" t="s">
        <v>84</v>
      </c>
      <c r="B44" s="7" t="s">
        <v>14</v>
      </c>
      <c r="C44" s="8">
        <v>45721</v>
      </c>
      <c r="D44" s="7" t="s">
        <v>39</v>
      </c>
      <c r="E44" s="7" t="s">
        <v>32</v>
      </c>
      <c r="F44" s="7" t="s">
        <v>57</v>
      </c>
      <c r="G44" s="9">
        <v>12916</v>
      </c>
      <c r="H44" s="9">
        <v>1262</v>
      </c>
      <c r="I44" s="9">
        <v>772</v>
      </c>
      <c r="J44" s="9">
        <v>856</v>
      </c>
      <c r="K44" s="10">
        <v>11496</v>
      </c>
      <c r="L44" s="9">
        <v>75046</v>
      </c>
      <c r="M44" s="6" t="s">
        <v>29</v>
      </c>
      <c r="N44" s="11">
        <f t="shared" si="0"/>
        <v>0.19921115049436347</v>
      </c>
    </row>
    <row r="45" spans="1:28" ht="15" thickBot="1" x14ac:dyDescent="0.35">
      <c r="A45" s="6" t="s">
        <v>290</v>
      </c>
      <c r="B45" s="7" t="s">
        <v>47</v>
      </c>
      <c r="C45" s="8">
        <v>45576</v>
      </c>
      <c r="D45" s="7" t="s">
        <v>39</v>
      </c>
      <c r="E45" s="7" t="s">
        <v>48</v>
      </c>
      <c r="F45" s="7" t="s">
        <v>32</v>
      </c>
      <c r="G45" s="9">
        <v>19447</v>
      </c>
      <c r="H45" s="9">
        <v>1014</v>
      </c>
      <c r="I45" s="9">
        <v>256</v>
      </c>
      <c r="J45" s="9">
        <v>2354</v>
      </c>
      <c r="K45" s="10">
        <v>5472</v>
      </c>
      <c r="L45" s="9">
        <v>104106</v>
      </c>
      <c r="M45" s="6" t="s">
        <v>18</v>
      </c>
      <c r="N45" s="11">
        <f t="shared" si="0"/>
        <v>0.19899909707413599</v>
      </c>
    </row>
    <row r="46" spans="1:28" ht="15" thickBot="1" x14ac:dyDescent="0.35">
      <c r="A46" s="6" t="s">
        <v>304</v>
      </c>
      <c r="B46" s="7" t="s">
        <v>14</v>
      </c>
      <c r="C46" s="8">
        <v>45700</v>
      </c>
      <c r="D46" s="7" t="s">
        <v>31</v>
      </c>
      <c r="E46" s="7" t="s">
        <v>21</v>
      </c>
      <c r="F46" s="7" t="s">
        <v>22</v>
      </c>
      <c r="G46" s="9">
        <v>15234</v>
      </c>
      <c r="H46" s="9">
        <v>1276</v>
      </c>
      <c r="I46" s="9">
        <v>670</v>
      </c>
      <c r="J46" s="9">
        <v>1860</v>
      </c>
      <c r="K46" s="10">
        <v>60397</v>
      </c>
      <c r="L46" s="9">
        <v>86413</v>
      </c>
      <c r="M46" s="6" t="s">
        <v>52</v>
      </c>
      <c r="N46" s="11">
        <f t="shared" si="0"/>
        <v>0.19881267864788862</v>
      </c>
    </row>
    <row r="47" spans="1:28" ht="15" thickBot="1" x14ac:dyDescent="0.35">
      <c r="A47" s="6" t="s">
        <v>137</v>
      </c>
      <c r="B47" s="7" t="s">
        <v>47</v>
      </c>
      <c r="C47" s="8">
        <v>45637</v>
      </c>
      <c r="D47" s="7" t="s">
        <v>39</v>
      </c>
      <c r="E47" s="7" t="s">
        <v>48</v>
      </c>
      <c r="F47" s="7" t="s">
        <v>32</v>
      </c>
      <c r="G47" s="9">
        <v>22645</v>
      </c>
      <c r="H47" s="9">
        <v>545</v>
      </c>
      <c r="I47" s="9">
        <v>972</v>
      </c>
      <c r="J47" s="9">
        <v>321</v>
      </c>
      <c r="K47" s="10">
        <v>8396</v>
      </c>
      <c r="L47" s="9">
        <v>121537</v>
      </c>
      <c r="M47" s="6" t="s">
        <v>52</v>
      </c>
      <c r="N47" s="11">
        <f t="shared" si="0"/>
        <v>0.19880365649966678</v>
      </c>
    </row>
    <row r="48" spans="1:28" ht="15" thickBot="1" x14ac:dyDescent="0.35">
      <c r="A48" s="6" t="s">
        <v>207</v>
      </c>
      <c r="B48" s="7" t="s">
        <v>20</v>
      </c>
      <c r="C48" s="8">
        <v>45755</v>
      </c>
      <c r="D48" s="7" t="s">
        <v>31</v>
      </c>
      <c r="E48" s="7" t="s">
        <v>16</v>
      </c>
      <c r="F48" s="7" t="s">
        <v>17</v>
      </c>
      <c r="G48" s="9">
        <v>15568</v>
      </c>
      <c r="H48" s="9">
        <v>1166</v>
      </c>
      <c r="I48" s="9">
        <v>546</v>
      </c>
      <c r="J48" s="9">
        <v>826</v>
      </c>
      <c r="K48" s="10">
        <v>21836</v>
      </c>
      <c r="L48" s="9">
        <v>87055</v>
      </c>
      <c r="M48" s="6" t="s">
        <v>18</v>
      </c>
      <c r="N48" s="11">
        <f t="shared" si="0"/>
        <v>0.19849520418126471</v>
      </c>
    </row>
    <row r="49" spans="1:14" ht="15" thickBot="1" x14ac:dyDescent="0.35">
      <c r="A49" s="6" t="s">
        <v>344</v>
      </c>
      <c r="B49" s="7" t="s">
        <v>20</v>
      </c>
      <c r="C49" s="8">
        <v>45926</v>
      </c>
      <c r="D49" s="7" t="s">
        <v>31</v>
      </c>
      <c r="E49" s="7" t="s">
        <v>48</v>
      </c>
      <c r="F49" s="7" t="s">
        <v>32</v>
      </c>
      <c r="G49" s="9">
        <v>21216</v>
      </c>
      <c r="H49" s="9">
        <v>226</v>
      </c>
      <c r="I49" s="9">
        <v>187</v>
      </c>
      <c r="J49" s="9">
        <v>1573</v>
      </c>
      <c r="K49" s="10">
        <v>62688</v>
      </c>
      <c r="L49" s="9">
        <v>111031</v>
      </c>
      <c r="M49" s="6" t="s">
        <v>23</v>
      </c>
      <c r="N49" s="11">
        <f t="shared" si="0"/>
        <v>0.19480145184678152</v>
      </c>
    </row>
    <row r="50" spans="1:14" ht="15" thickBot="1" x14ac:dyDescent="0.35">
      <c r="A50" s="6" t="s">
        <v>110</v>
      </c>
      <c r="B50" s="7" t="s">
        <v>25</v>
      </c>
      <c r="C50" s="8">
        <v>45634</v>
      </c>
      <c r="D50" s="7" t="s">
        <v>31</v>
      </c>
      <c r="E50" s="7" t="s">
        <v>21</v>
      </c>
      <c r="F50" s="7" t="s">
        <v>22</v>
      </c>
      <c r="G50" s="9">
        <v>10427</v>
      </c>
      <c r="H50" s="9">
        <v>1014</v>
      </c>
      <c r="I50" s="9">
        <v>166</v>
      </c>
      <c r="J50" s="9">
        <v>1649</v>
      </c>
      <c r="K50" s="10">
        <v>15145</v>
      </c>
      <c r="L50" s="9">
        <v>59816</v>
      </c>
      <c r="M50" s="6" t="s">
        <v>29</v>
      </c>
      <c r="N50" s="11">
        <f t="shared" si="0"/>
        <v>0.19404507155276179</v>
      </c>
    </row>
    <row r="51" spans="1:14" ht="15" thickBot="1" x14ac:dyDescent="0.35">
      <c r="A51" s="6" t="s">
        <v>170</v>
      </c>
      <c r="B51" s="7" t="s">
        <v>20</v>
      </c>
      <c r="C51" s="8">
        <v>45744</v>
      </c>
      <c r="D51" s="7" t="s">
        <v>15</v>
      </c>
      <c r="E51" s="7" t="s">
        <v>43</v>
      </c>
      <c r="F51" s="7" t="s">
        <v>44</v>
      </c>
      <c r="G51" s="9">
        <v>13637</v>
      </c>
      <c r="H51" s="9">
        <v>1135</v>
      </c>
      <c r="I51" s="9">
        <v>540</v>
      </c>
      <c r="J51" s="9">
        <v>1288</v>
      </c>
      <c r="K51" s="10">
        <v>45183</v>
      </c>
      <c r="L51" s="9">
        <v>79062</v>
      </c>
      <c r="M51" s="6" t="s">
        <v>52</v>
      </c>
      <c r="N51" s="11">
        <f t="shared" si="0"/>
        <v>0.19367079001290127</v>
      </c>
    </row>
    <row r="52" spans="1:14" ht="15" thickBot="1" x14ac:dyDescent="0.35">
      <c r="A52" s="6" t="s">
        <v>173</v>
      </c>
      <c r="B52" s="7" t="s">
        <v>20</v>
      </c>
      <c r="C52" s="8">
        <v>45494</v>
      </c>
      <c r="D52" s="7" t="s">
        <v>15</v>
      </c>
      <c r="E52" s="7" t="s">
        <v>32</v>
      </c>
      <c r="F52" s="7" t="s">
        <v>33</v>
      </c>
      <c r="G52" s="9">
        <v>11911</v>
      </c>
      <c r="H52" s="9">
        <v>1360</v>
      </c>
      <c r="I52" s="9">
        <v>778</v>
      </c>
      <c r="J52" s="9">
        <v>1168</v>
      </c>
      <c r="K52" s="10">
        <v>16483</v>
      </c>
      <c r="L52" s="9">
        <v>72556</v>
      </c>
      <c r="M52" s="6" t="s">
        <v>29</v>
      </c>
      <c r="N52" s="11">
        <f t="shared" si="0"/>
        <v>0.19362974805667346</v>
      </c>
    </row>
    <row r="53" spans="1:14" ht="15" thickBot="1" x14ac:dyDescent="0.35">
      <c r="A53" s="6" t="s">
        <v>141</v>
      </c>
      <c r="B53" s="7" t="s">
        <v>47</v>
      </c>
      <c r="C53" s="8">
        <v>45517</v>
      </c>
      <c r="D53" s="7" t="s">
        <v>39</v>
      </c>
      <c r="E53" s="7" t="s">
        <v>122</v>
      </c>
      <c r="F53" s="7" t="s">
        <v>123</v>
      </c>
      <c r="G53" s="9">
        <v>6854</v>
      </c>
      <c r="H53" s="9">
        <v>417</v>
      </c>
      <c r="I53" s="9">
        <v>467</v>
      </c>
      <c r="J53" s="9">
        <v>1003</v>
      </c>
      <c r="K53" s="10">
        <v>61333</v>
      </c>
      <c r="L53" s="9">
        <v>40281</v>
      </c>
      <c r="M53" s="6" t="s">
        <v>18</v>
      </c>
      <c r="N53" s="11">
        <f t="shared" si="0"/>
        <v>0.19210049402944315</v>
      </c>
    </row>
    <row r="54" spans="1:14" ht="15" thickBot="1" x14ac:dyDescent="0.35">
      <c r="A54" s="6" t="s">
        <v>89</v>
      </c>
      <c r="B54" s="7" t="s">
        <v>20</v>
      </c>
      <c r="C54" s="8">
        <v>45712</v>
      </c>
      <c r="D54" s="7" t="s">
        <v>26</v>
      </c>
      <c r="E54" s="7" t="s">
        <v>48</v>
      </c>
      <c r="F54" s="7" t="s">
        <v>32</v>
      </c>
      <c r="G54" s="9">
        <v>24984</v>
      </c>
      <c r="H54" s="9">
        <v>753</v>
      </c>
      <c r="I54" s="9">
        <v>461</v>
      </c>
      <c r="J54" s="9">
        <v>2710</v>
      </c>
      <c r="K54" s="10">
        <v>20792</v>
      </c>
      <c r="L54" s="9">
        <v>141520</v>
      </c>
      <c r="M54" s="6" t="s">
        <v>29</v>
      </c>
      <c r="N54" s="11">
        <f t="shared" si="0"/>
        <v>0.18511871113623515</v>
      </c>
    </row>
    <row r="55" spans="1:14" ht="15" thickBot="1" x14ac:dyDescent="0.35">
      <c r="A55" s="6" t="s">
        <v>196</v>
      </c>
      <c r="B55" s="7" t="s">
        <v>14</v>
      </c>
      <c r="C55" s="8">
        <v>45934</v>
      </c>
      <c r="D55" s="7" t="s">
        <v>31</v>
      </c>
      <c r="E55" s="7" t="s">
        <v>122</v>
      </c>
      <c r="F55" s="7" t="s">
        <v>123</v>
      </c>
      <c r="G55" s="9">
        <v>12488</v>
      </c>
      <c r="H55" s="9">
        <v>1403</v>
      </c>
      <c r="I55" s="9">
        <v>247</v>
      </c>
      <c r="J55" s="9">
        <v>1350</v>
      </c>
      <c r="K55" s="10">
        <v>28370</v>
      </c>
      <c r="L55" s="9">
        <v>76487</v>
      </c>
      <c r="M55" s="6" t="s">
        <v>23</v>
      </c>
      <c r="N55" s="11">
        <f t="shared" si="0"/>
        <v>0.18484186855282597</v>
      </c>
    </row>
    <row r="56" spans="1:14" ht="15" thickBot="1" x14ac:dyDescent="0.35">
      <c r="A56" s="6" t="s">
        <v>274</v>
      </c>
      <c r="B56" s="7" t="s">
        <v>25</v>
      </c>
      <c r="C56" s="8">
        <v>45488</v>
      </c>
      <c r="D56" s="7" t="s">
        <v>31</v>
      </c>
      <c r="E56" s="7" t="s">
        <v>37</v>
      </c>
      <c r="F56" s="7"/>
      <c r="G56" s="9">
        <v>12554</v>
      </c>
      <c r="H56" s="9">
        <v>381</v>
      </c>
      <c r="I56" s="9">
        <v>211</v>
      </c>
      <c r="J56" s="9">
        <v>2286</v>
      </c>
      <c r="K56" s="10">
        <v>50567</v>
      </c>
      <c r="L56" s="9">
        <v>72779</v>
      </c>
      <c r="M56" s="6" t="s">
        <v>18</v>
      </c>
      <c r="N56" s="11">
        <f t="shared" si="0"/>
        <v>0.18062902760411656</v>
      </c>
    </row>
    <row r="57" spans="1:14" ht="15" thickBot="1" x14ac:dyDescent="0.35">
      <c r="A57" s="6" t="s">
        <v>192</v>
      </c>
      <c r="B57" s="7" t="s">
        <v>14</v>
      </c>
      <c r="C57" s="8">
        <v>45762</v>
      </c>
      <c r="D57" s="7" t="s">
        <v>31</v>
      </c>
      <c r="E57" s="7" t="s">
        <v>48</v>
      </c>
      <c r="F57" s="7" t="s">
        <v>32</v>
      </c>
      <c r="G57" s="9">
        <v>20977</v>
      </c>
      <c r="H57" s="9">
        <v>1402</v>
      </c>
      <c r="I57" s="9">
        <v>301</v>
      </c>
      <c r="J57" s="9">
        <v>1284</v>
      </c>
      <c r="K57" s="10">
        <v>24620</v>
      </c>
      <c r="L57" s="9">
        <v>128009</v>
      </c>
      <c r="M57" s="6" t="s">
        <v>18</v>
      </c>
      <c r="N57" s="11">
        <f t="shared" si="0"/>
        <v>0.17717504237983267</v>
      </c>
    </row>
    <row r="58" spans="1:14" ht="15" thickBot="1" x14ac:dyDescent="0.35">
      <c r="A58" s="6" t="s">
        <v>183</v>
      </c>
      <c r="B58" s="7" t="s">
        <v>14</v>
      </c>
      <c r="C58" s="8">
        <v>45594</v>
      </c>
      <c r="D58" s="7" t="s">
        <v>26</v>
      </c>
      <c r="E58" s="7" t="s">
        <v>32</v>
      </c>
      <c r="F58" s="7" t="s">
        <v>57</v>
      </c>
      <c r="G58" s="9">
        <v>23969</v>
      </c>
      <c r="H58" s="9">
        <v>1433</v>
      </c>
      <c r="I58" s="9">
        <v>372</v>
      </c>
      <c r="J58" s="9">
        <v>1092</v>
      </c>
      <c r="K58" s="10">
        <v>32147</v>
      </c>
      <c r="L58" s="9">
        <v>145823</v>
      </c>
      <c r="M58" s="6" t="s">
        <v>29</v>
      </c>
      <c r="N58" s="11">
        <f t="shared" si="0"/>
        <v>0.17674852389540743</v>
      </c>
    </row>
    <row r="59" spans="1:14" ht="15" thickBot="1" x14ac:dyDescent="0.35">
      <c r="A59" s="6" t="s">
        <v>64</v>
      </c>
      <c r="B59" s="7" t="s">
        <v>47</v>
      </c>
      <c r="C59" s="8">
        <v>45602</v>
      </c>
      <c r="D59" s="7" t="s">
        <v>39</v>
      </c>
      <c r="E59" s="7" t="s">
        <v>32</v>
      </c>
      <c r="F59" s="7" t="s">
        <v>57</v>
      </c>
      <c r="G59" s="9">
        <v>8938</v>
      </c>
      <c r="H59" s="9">
        <v>800</v>
      </c>
      <c r="I59" s="9">
        <v>842</v>
      </c>
      <c r="J59" s="9">
        <v>2072</v>
      </c>
      <c r="K59" s="10">
        <v>31736</v>
      </c>
      <c r="L59" s="9">
        <v>59975</v>
      </c>
      <c r="M59" s="6" t="s">
        <v>34</v>
      </c>
      <c r="N59" s="11">
        <f t="shared" si="0"/>
        <v>0.17640683618174238</v>
      </c>
    </row>
    <row r="60" spans="1:14" ht="15" thickBot="1" x14ac:dyDescent="0.35">
      <c r="A60" s="6" t="s">
        <v>169</v>
      </c>
      <c r="B60" s="7" t="s">
        <v>25</v>
      </c>
      <c r="C60" s="8">
        <v>45543</v>
      </c>
      <c r="D60" s="7" t="s">
        <v>39</v>
      </c>
      <c r="E60" s="7" t="s">
        <v>16</v>
      </c>
      <c r="F60" s="7" t="s">
        <v>17</v>
      </c>
      <c r="G60" s="9">
        <v>8090</v>
      </c>
      <c r="H60" s="9">
        <v>570</v>
      </c>
      <c r="I60" s="9">
        <v>399</v>
      </c>
      <c r="J60" s="9">
        <v>1862</v>
      </c>
      <c r="K60" s="10">
        <v>34088</v>
      </c>
      <c r="L60" s="9">
        <v>52115</v>
      </c>
      <c r="M60" s="6" t="s">
        <v>18</v>
      </c>
      <c r="N60" s="11">
        <f t="shared" si="0"/>
        <v>0.17382711311522595</v>
      </c>
    </row>
    <row r="61" spans="1:14" ht="15" thickBot="1" x14ac:dyDescent="0.35">
      <c r="A61" s="6" t="s">
        <v>135</v>
      </c>
      <c r="B61" s="7" t="s">
        <v>20</v>
      </c>
      <c r="C61" s="8">
        <v>45924</v>
      </c>
      <c r="D61" s="7" t="s">
        <v>26</v>
      </c>
      <c r="E61" s="7" t="s">
        <v>40</v>
      </c>
      <c r="F61" s="7" t="s">
        <v>41</v>
      </c>
      <c r="G61" s="9">
        <v>12209</v>
      </c>
      <c r="H61" s="9">
        <v>222</v>
      </c>
      <c r="I61" s="9">
        <v>479</v>
      </c>
      <c r="J61" s="9">
        <v>2748</v>
      </c>
      <c r="K61" s="10">
        <v>24615</v>
      </c>
      <c r="L61" s="9">
        <v>74707</v>
      </c>
      <c r="M61" s="6" t="s">
        <v>23</v>
      </c>
      <c r="N61" s="11">
        <f t="shared" si="0"/>
        <v>0.17280843829895459</v>
      </c>
    </row>
    <row r="62" spans="1:14" ht="15" thickBot="1" x14ac:dyDescent="0.35">
      <c r="A62" s="6" t="s">
        <v>86</v>
      </c>
      <c r="B62" s="7" t="s">
        <v>20</v>
      </c>
      <c r="C62" s="8">
        <v>45718</v>
      </c>
      <c r="D62" s="7" t="s">
        <v>31</v>
      </c>
      <c r="E62" s="7" t="s">
        <v>62</v>
      </c>
      <c r="F62" s="7" t="s">
        <v>37</v>
      </c>
      <c r="G62" s="9">
        <v>22562</v>
      </c>
      <c r="H62" s="9">
        <v>778</v>
      </c>
      <c r="I62" s="9">
        <v>907</v>
      </c>
      <c r="J62" s="9">
        <v>1354</v>
      </c>
      <c r="K62" s="10">
        <v>34475</v>
      </c>
      <c r="L62" s="9">
        <v>141459</v>
      </c>
      <c r="M62" s="6" t="s">
        <v>34</v>
      </c>
      <c r="N62" s="11">
        <f t="shared" si="0"/>
        <v>0.17140655596321194</v>
      </c>
    </row>
    <row r="63" spans="1:14" ht="15" thickBot="1" x14ac:dyDescent="0.35">
      <c r="A63" s="6" t="s">
        <v>320</v>
      </c>
      <c r="B63" s="7" t="s">
        <v>20</v>
      </c>
      <c r="C63" s="8">
        <v>45450</v>
      </c>
      <c r="D63" s="7" t="s">
        <v>31</v>
      </c>
      <c r="E63" s="7" t="s">
        <v>32</v>
      </c>
      <c r="F63" s="7" t="s">
        <v>33</v>
      </c>
      <c r="G63" s="9">
        <v>8233</v>
      </c>
      <c r="H63" s="9">
        <v>436</v>
      </c>
      <c r="I63" s="9">
        <v>269</v>
      </c>
      <c r="J63" s="9">
        <v>2037</v>
      </c>
      <c r="K63" s="10">
        <v>8875</v>
      </c>
      <c r="L63" s="9">
        <v>52289</v>
      </c>
      <c r="M63" s="6" t="s">
        <v>18</v>
      </c>
      <c r="N63" s="11">
        <f t="shared" si="0"/>
        <v>0.17093461339861157</v>
      </c>
    </row>
    <row r="64" spans="1:14" ht="15" thickBot="1" x14ac:dyDescent="0.35">
      <c r="A64" s="6" t="s">
        <v>204</v>
      </c>
      <c r="B64" s="7" t="s">
        <v>20</v>
      </c>
      <c r="C64" s="8">
        <v>45528</v>
      </c>
      <c r="D64" s="7" t="s">
        <v>26</v>
      </c>
      <c r="E64" s="7" t="s">
        <v>62</v>
      </c>
      <c r="F64" s="7" t="s">
        <v>37</v>
      </c>
      <c r="G64" s="9">
        <v>22527</v>
      </c>
      <c r="H64" s="9">
        <v>865</v>
      </c>
      <c r="I64" s="9">
        <v>646</v>
      </c>
      <c r="J64" s="9">
        <v>992</v>
      </c>
      <c r="K64" s="10">
        <v>18654</v>
      </c>
      <c r="L64" s="9">
        <v>141376</v>
      </c>
      <c r="M64" s="6" t="s">
        <v>52</v>
      </c>
      <c r="N64" s="11">
        <f t="shared" si="0"/>
        <v>0.17002885921231325</v>
      </c>
    </row>
    <row r="65" spans="1:14" ht="15" thickBot="1" x14ac:dyDescent="0.35">
      <c r="A65" s="6" t="s">
        <v>202</v>
      </c>
      <c r="B65" s="7" t="s">
        <v>47</v>
      </c>
      <c r="C65" s="8">
        <v>45515</v>
      </c>
      <c r="D65" s="7" t="s">
        <v>39</v>
      </c>
      <c r="E65" s="7" t="s">
        <v>21</v>
      </c>
      <c r="F65" s="7" t="s">
        <v>22</v>
      </c>
      <c r="G65" s="9">
        <v>14394</v>
      </c>
      <c r="H65" s="9">
        <v>1202</v>
      </c>
      <c r="I65" s="9">
        <v>188</v>
      </c>
      <c r="J65" s="9">
        <v>1259</v>
      </c>
      <c r="K65" s="10">
        <v>21925</v>
      </c>
      <c r="L65" s="9">
        <v>94061</v>
      </c>
      <c r="M65" s="6" t="s">
        <v>34</v>
      </c>
      <c r="N65" s="11">
        <f t="shared" si="0"/>
        <v>0.1678059982351878</v>
      </c>
    </row>
    <row r="66" spans="1:14" ht="15" thickBot="1" x14ac:dyDescent="0.35">
      <c r="A66" s="6" t="s">
        <v>246</v>
      </c>
      <c r="B66" s="7" t="s">
        <v>20</v>
      </c>
      <c r="C66" s="8">
        <v>45921</v>
      </c>
      <c r="D66" s="7" t="s">
        <v>15</v>
      </c>
      <c r="E66" s="7" t="s">
        <v>122</v>
      </c>
      <c r="F66" s="7" t="s">
        <v>123</v>
      </c>
      <c r="G66" s="9">
        <v>19680</v>
      </c>
      <c r="H66" s="9">
        <v>999</v>
      </c>
      <c r="I66" s="9">
        <v>838</v>
      </c>
      <c r="J66" s="9">
        <v>891</v>
      </c>
      <c r="K66" s="10">
        <v>29576</v>
      </c>
      <c r="L66" s="9">
        <v>129152</v>
      </c>
      <c r="M66" s="6" t="s">
        <v>23</v>
      </c>
      <c r="N66" s="11">
        <f t="shared" ref="N66:N129" si="2">(G66+H66+I66)/L66</f>
        <v>0.16660214321110009</v>
      </c>
    </row>
    <row r="67" spans="1:14" ht="15" thickBot="1" x14ac:dyDescent="0.35">
      <c r="A67" s="6" t="s">
        <v>115</v>
      </c>
      <c r="B67" s="7" t="s">
        <v>25</v>
      </c>
      <c r="C67" s="8">
        <v>45921</v>
      </c>
      <c r="D67" s="7" t="s">
        <v>31</v>
      </c>
      <c r="E67" s="7" t="s">
        <v>16</v>
      </c>
      <c r="F67" s="7" t="s">
        <v>17</v>
      </c>
      <c r="G67" s="9">
        <v>23103</v>
      </c>
      <c r="H67" s="9">
        <v>1380</v>
      </c>
      <c r="I67" s="9">
        <v>191</v>
      </c>
      <c r="J67" s="9">
        <v>1547</v>
      </c>
      <c r="K67" s="10">
        <v>77798</v>
      </c>
      <c r="L67" s="9">
        <v>148856</v>
      </c>
      <c r="M67" s="6" t="s">
        <v>23</v>
      </c>
      <c r="N67" s="11">
        <f t="shared" si="2"/>
        <v>0.16575751061428495</v>
      </c>
    </row>
    <row r="68" spans="1:14" ht="15" thickBot="1" x14ac:dyDescent="0.35">
      <c r="A68" s="6" t="s">
        <v>265</v>
      </c>
      <c r="B68" s="7" t="s">
        <v>14</v>
      </c>
      <c r="C68" s="8">
        <v>45739</v>
      </c>
      <c r="D68" s="7" t="s">
        <v>39</v>
      </c>
      <c r="E68" s="7" t="s">
        <v>40</v>
      </c>
      <c r="F68" s="7" t="s">
        <v>41</v>
      </c>
      <c r="G68" s="9">
        <v>17728</v>
      </c>
      <c r="H68" s="9">
        <v>1487</v>
      </c>
      <c r="I68" s="9">
        <v>210</v>
      </c>
      <c r="J68" s="9">
        <v>2469</v>
      </c>
      <c r="K68" s="10">
        <v>30565</v>
      </c>
      <c r="L68" s="9">
        <v>117576</v>
      </c>
      <c r="M68" s="6" t="s">
        <v>18</v>
      </c>
      <c r="N68" s="11">
        <f t="shared" si="2"/>
        <v>0.16521228822208614</v>
      </c>
    </row>
    <row r="69" spans="1:14" ht="15" thickBot="1" x14ac:dyDescent="0.35">
      <c r="A69" s="6" t="s">
        <v>329</v>
      </c>
      <c r="B69" s="7" t="s">
        <v>47</v>
      </c>
      <c r="C69" s="8">
        <v>45491</v>
      </c>
      <c r="D69" s="7" t="s">
        <v>31</v>
      </c>
      <c r="E69" s="7" t="s">
        <v>16</v>
      </c>
      <c r="F69" s="7" t="s">
        <v>17</v>
      </c>
      <c r="G69" s="9">
        <v>16594</v>
      </c>
      <c r="H69" s="9">
        <v>809</v>
      </c>
      <c r="I69" s="9">
        <v>784</v>
      </c>
      <c r="J69" s="9">
        <v>1655</v>
      </c>
      <c r="K69" s="10">
        <v>35505</v>
      </c>
      <c r="L69" s="9">
        <v>112588</v>
      </c>
      <c r="M69" s="6" t="s">
        <v>29</v>
      </c>
      <c r="N69" s="11">
        <f t="shared" si="2"/>
        <v>0.16153586527871533</v>
      </c>
    </row>
    <row r="70" spans="1:14" ht="15" thickBot="1" x14ac:dyDescent="0.35">
      <c r="A70" s="6" t="s">
        <v>104</v>
      </c>
      <c r="B70" s="7" t="s">
        <v>14</v>
      </c>
      <c r="C70" s="8">
        <v>45920</v>
      </c>
      <c r="D70" s="7" t="s">
        <v>15</v>
      </c>
      <c r="E70" s="7" t="s">
        <v>32</v>
      </c>
      <c r="F70" s="7" t="s">
        <v>57</v>
      </c>
      <c r="G70" s="9">
        <v>18633</v>
      </c>
      <c r="H70" s="9">
        <v>797</v>
      </c>
      <c r="I70" s="9">
        <v>303</v>
      </c>
      <c r="J70" s="9">
        <v>659</v>
      </c>
      <c r="K70" s="10">
        <v>7</v>
      </c>
      <c r="L70" s="9">
        <v>122189</v>
      </c>
      <c r="M70" s="6" t="s">
        <v>23</v>
      </c>
      <c r="N70" s="11">
        <f t="shared" si="2"/>
        <v>0.16149571565361859</v>
      </c>
    </row>
    <row r="71" spans="1:14" ht="15" thickBot="1" x14ac:dyDescent="0.35">
      <c r="A71" s="6" t="s">
        <v>117</v>
      </c>
      <c r="B71" s="7" t="s">
        <v>25</v>
      </c>
      <c r="C71" s="8">
        <v>45505</v>
      </c>
      <c r="D71" s="7" t="s">
        <v>15</v>
      </c>
      <c r="E71" s="7" t="s">
        <v>27</v>
      </c>
      <c r="F71" s="7" t="s">
        <v>28</v>
      </c>
      <c r="G71" s="9">
        <v>21758</v>
      </c>
      <c r="H71" s="9">
        <v>1380</v>
      </c>
      <c r="I71" s="9">
        <v>188</v>
      </c>
      <c r="J71" s="9">
        <v>1735</v>
      </c>
      <c r="K71" s="10">
        <v>20998</v>
      </c>
      <c r="L71" s="9">
        <v>147803</v>
      </c>
      <c r="M71" s="6" t="s">
        <v>52</v>
      </c>
      <c r="N71" s="11">
        <f t="shared" si="2"/>
        <v>0.15781817689762725</v>
      </c>
    </row>
    <row r="72" spans="1:14" ht="15" thickBot="1" x14ac:dyDescent="0.35">
      <c r="A72" s="6" t="s">
        <v>233</v>
      </c>
      <c r="B72" s="7" t="s">
        <v>14</v>
      </c>
      <c r="C72" s="8">
        <v>45740</v>
      </c>
      <c r="D72" s="7" t="s">
        <v>15</v>
      </c>
      <c r="E72" s="7" t="s">
        <v>37</v>
      </c>
      <c r="F72" s="7"/>
      <c r="G72" s="9">
        <v>10172</v>
      </c>
      <c r="H72" s="9">
        <v>1398</v>
      </c>
      <c r="I72" s="9">
        <v>394</v>
      </c>
      <c r="J72" s="9">
        <v>2358</v>
      </c>
      <c r="K72" s="10">
        <v>59610</v>
      </c>
      <c r="L72" s="9">
        <v>76321</v>
      </c>
      <c r="M72" s="6" t="s">
        <v>34</v>
      </c>
      <c r="N72" s="11">
        <f t="shared" si="2"/>
        <v>0.15675895231980713</v>
      </c>
    </row>
    <row r="73" spans="1:14" ht="15" thickBot="1" x14ac:dyDescent="0.35">
      <c r="A73" s="6" t="s">
        <v>92</v>
      </c>
      <c r="B73" s="7" t="s">
        <v>47</v>
      </c>
      <c r="C73" s="8">
        <v>45476</v>
      </c>
      <c r="D73" s="7" t="s">
        <v>26</v>
      </c>
      <c r="E73" s="7" t="s">
        <v>40</v>
      </c>
      <c r="F73" s="7" t="s">
        <v>41</v>
      </c>
      <c r="G73" s="9">
        <v>14338</v>
      </c>
      <c r="H73" s="9">
        <v>1454</v>
      </c>
      <c r="I73" s="9">
        <v>697</v>
      </c>
      <c r="J73" s="9">
        <v>2703</v>
      </c>
      <c r="K73" s="10">
        <v>21288</v>
      </c>
      <c r="L73" s="9">
        <v>107649</v>
      </c>
      <c r="M73" s="6" t="s">
        <v>34</v>
      </c>
      <c r="N73" s="11">
        <f t="shared" si="2"/>
        <v>0.1531737405828201</v>
      </c>
    </row>
    <row r="74" spans="1:14" ht="15" thickBot="1" x14ac:dyDescent="0.35">
      <c r="A74" s="6" t="s">
        <v>176</v>
      </c>
      <c r="B74" s="7" t="s">
        <v>25</v>
      </c>
      <c r="C74" s="8">
        <v>45720</v>
      </c>
      <c r="D74" s="7" t="s">
        <v>31</v>
      </c>
      <c r="E74" s="7" t="s">
        <v>21</v>
      </c>
      <c r="F74" s="7" t="s">
        <v>22</v>
      </c>
      <c r="G74" s="9">
        <v>5266</v>
      </c>
      <c r="H74" s="9">
        <v>316</v>
      </c>
      <c r="I74" s="9">
        <v>837</v>
      </c>
      <c r="J74" s="9">
        <v>2276</v>
      </c>
      <c r="K74" s="10">
        <v>20967</v>
      </c>
      <c r="L74" s="9">
        <v>41969</v>
      </c>
      <c r="M74" s="6" t="s">
        <v>52</v>
      </c>
      <c r="N74" s="11">
        <f t="shared" si="2"/>
        <v>0.1529462222116324</v>
      </c>
    </row>
    <row r="75" spans="1:14" ht="15" thickBot="1" x14ac:dyDescent="0.35">
      <c r="A75" s="6" t="s">
        <v>82</v>
      </c>
      <c r="B75" s="7" t="s">
        <v>14</v>
      </c>
      <c r="C75" s="8">
        <v>45914</v>
      </c>
      <c r="D75" s="7" t="s">
        <v>39</v>
      </c>
      <c r="E75" s="7" t="s">
        <v>43</v>
      </c>
      <c r="F75" s="7" t="s">
        <v>44</v>
      </c>
      <c r="G75" s="9">
        <v>19844</v>
      </c>
      <c r="H75" s="9">
        <v>1020</v>
      </c>
      <c r="I75" s="9">
        <v>247</v>
      </c>
      <c r="J75" s="9">
        <v>2354</v>
      </c>
      <c r="K75" s="10">
        <v>37792</v>
      </c>
      <c r="L75" s="9">
        <v>138317</v>
      </c>
      <c r="M75" s="6" t="s">
        <v>23</v>
      </c>
      <c r="N75" s="11">
        <f t="shared" si="2"/>
        <v>0.15262765965138053</v>
      </c>
    </row>
    <row r="76" spans="1:14" ht="15" thickBot="1" x14ac:dyDescent="0.35">
      <c r="A76" s="6" t="s">
        <v>119</v>
      </c>
      <c r="B76" s="7" t="s">
        <v>20</v>
      </c>
      <c r="C76" s="8">
        <v>45720</v>
      </c>
      <c r="D76" s="7" t="s">
        <v>39</v>
      </c>
      <c r="E76" s="7" t="s">
        <v>48</v>
      </c>
      <c r="F76" s="7" t="s">
        <v>32</v>
      </c>
      <c r="G76" s="9">
        <v>13470</v>
      </c>
      <c r="H76" s="9">
        <v>523</v>
      </c>
      <c r="I76" s="9">
        <v>280</v>
      </c>
      <c r="J76" s="9">
        <v>2682</v>
      </c>
      <c r="K76" s="10">
        <v>8538</v>
      </c>
      <c r="L76" s="9">
        <v>95204</v>
      </c>
      <c r="M76" s="6" t="s">
        <v>18</v>
      </c>
      <c r="N76" s="11">
        <f t="shared" si="2"/>
        <v>0.14992017142136885</v>
      </c>
    </row>
    <row r="77" spans="1:14" ht="15" thickBot="1" x14ac:dyDescent="0.35">
      <c r="A77" s="6" t="s">
        <v>308</v>
      </c>
      <c r="B77" s="7" t="s">
        <v>25</v>
      </c>
      <c r="C77" s="8">
        <v>45687</v>
      </c>
      <c r="D77" s="7" t="s">
        <v>26</v>
      </c>
      <c r="E77" s="7" t="s">
        <v>62</v>
      </c>
      <c r="F77" s="7" t="s">
        <v>37</v>
      </c>
      <c r="G77" s="9">
        <v>12954</v>
      </c>
      <c r="H77" s="9">
        <v>913</v>
      </c>
      <c r="I77" s="9">
        <v>722</v>
      </c>
      <c r="J77" s="9">
        <v>1049</v>
      </c>
      <c r="K77" s="10">
        <v>475</v>
      </c>
      <c r="L77" s="9">
        <v>97716</v>
      </c>
      <c r="M77" s="6" t="s">
        <v>18</v>
      </c>
      <c r="N77" s="11">
        <f t="shared" si="2"/>
        <v>0.14930001228048631</v>
      </c>
    </row>
    <row r="78" spans="1:14" ht="15" thickBot="1" x14ac:dyDescent="0.35">
      <c r="A78" s="6" t="s">
        <v>152</v>
      </c>
      <c r="B78" s="7" t="s">
        <v>20</v>
      </c>
      <c r="C78" s="8">
        <v>45928</v>
      </c>
      <c r="D78" s="7" t="s">
        <v>39</v>
      </c>
      <c r="E78" s="7" t="s">
        <v>43</v>
      </c>
      <c r="F78" s="7" t="s">
        <v>44</v>
      </c>
      <c r="G78" s="9">
        <v>21963</v>
      </c>
      <c r="H78" s="9">
        <v>1356</v>
      </c>
      <c r="I78" s="9">
        <v>349</v>
      </c>
      <c r="J78" s="9">
        <v>1206</v>
      </c>
      <c r="K78" s="10">
        <v>51755</v>
      </c>
      <c r="L78" s="9">
        <v>159273</v>
      </c>
      <c r="M78" s="6" t="s">
        <v>23</v>
      </c>
      <c r="N78" s="11">
        <f t="shared" si="2"/>
        <v>0.14860020216860359</v>
      </c>
    </row>
    <row r="79" spans="1:14" ht="15" thickBot="1" x14ac:dyDescent="0.35">
      <c r="A79" s="6" t="s">
        <v>292</v>
      </c>
      <c r="B79" s="7" t="s">
        <v>25</v>
      </c>
      <c r="C79" s="8">
        <v>45914</v>
      </c>
      <c r="D79" s="7" t="s">
        <v>39</v>
      </c>
      <c r="E79" s="7" t="s">
        <v>32</v>
      </c>
      <c r="F79" s="7" t="s">
        <v>57</v>
      </c>
      <c r="G79" s="9">
        <v>12787</v>
      </c>
      <c r="H79" s="9">
        <v>945</v>
      </c>
      <c r="I79" s="9">
        <v>974</v>
      </c>
      <c r="J79" s="9">
        <v>1407</v>
      </c>
      <c r="K79" s="10">
        <v>4037</v>
      </c>
      <c r="L79" s="9">
        <v>99182</v>
      </c>
      <c r="M79" s="6" t="s">
        <v>23</v>
      </c>
      <c r="N79" s="11">
        <f t="shared" si="2"/>
        <v>0.14827287209372669</v>
      </c>
    </row>
    <row r="80" spans="1:14" ht="15" thickBot="1" x14ac:dyDescent="0.35">
      <c r="A80" s="6" t="s">
        <v>148</v>
      </c>
      <c r="B80" s="7" t="s">
        <v>20</v>
      </c>
      <c r="C80" s="8">
        <v>45739</v>
      </c>
      <c r="D80" s="7" t="s">
        <v>15</v>
      </c>
      <c r="E80" s="7" t="s">
        <v>27</v>
      </c>
      <c r="F80" s="7" t="s">
        <v>28</v>
      </c>
      <c r="G80" s="9">
        <v>24711</v>
      </c>
      <c r="H80" s="9">
        <v>882</v>
      </c>
      <c r="I80" s="9">
        <v>876</v>
      </c>
      <c r="J80" s="9">
        <v>2728</v>
      </c>
      <c r="K80" s="10">
        <v>32015</v>
      </c>
      <c r="L80" s="9">
        <v>180272</v>
      </c>
      <c r="M80" s="6" t="s">
        <v>34</v>
      </c>
      <c r="N80" s="11">
        <f t="shared" si="2"/>
        <v>0.1468281263867933</v>
      </c>
    </row>
    <row r="81" spans="1:14" ht="15" thickBot="1" x14ac:dyDescent="0.35">
      <c r="A81" s="6" t="s">
        <v>286</v>
      </c>
      <c r="B81" s="7" t="s">
        <v>14</v>
      </c>
      <c r="C81" s="8">
        <v>45912</v>
      </c>
      <c r="D81" s="7" t="s">
        <v>31</v>
      </c>
      <c r="E81" s="7" t="s">
        <v>40</v>
      </c>
      <c r="F81" s="7" t="s">
        <v>41</v>
      </c>
      <c r="G81" s="9">
        <v>15918</v>
      </c>
      <c r="H81" s="9">
        <v>1114</v>
      </c>
      <c r="I81" s="9">
        <v>392</v>
      </c>
      <c r="J81" s="9">
        <v>1641</v>
      </c>
      <c r="K81" s="10">
        <v>28044</v>
      </c>
      <c r="L81" s="9">
        <v>118714</v>
      </c>
      <c r="M81" s="6" t="s">
        <v>23</v>
      </c>
      <c r="N81" s="11">
        <f t="shared" si="2"/>
        <v>0.14677291642097814</v>
      </c>
    </row>
    <row r="82" spans="1:14" ht="15" thickBot="1" x14ac:dyDescent="0.35">
      <c r="A82" s="6" t="s">
        <v>199</v>
      </c>
      <c r="B82" s="7" t="s">
        <v>25</v>
      </c>
      <c r="C82" s="8">
        <v>45647</v>
      </c>
      <c r="D82" s="7" t="s">
        <v>15</v>
      </c>
      <c r="E82" s="7" t="s">
        <v>16</v>
      </c>
      <c r="F82" s="7" t="s">
        <v>17</v>
      </c>
      <c r="G82" s="9">
        <v>12453</v>
      </c>
      <c r="H82" s="9">
        <v>376</v>
      </c>
      <c r="I82" s="9">
        <v>320</v>
      </c>
      <c r="J82" s="9">
        <v>2546</v>
      </c>
      <c r="K82" s="10">
        <v>22617</v>
      </c>
      <c r="L82" s="9">
        <v>90138</v>
      </c>
      <c r="M82" s="6" t="s">
        <v>29</v>
      </c>
      <c r="N82" s="11">
        <f t="shared" si="2"/>
        <v>0.14587632297144379</v>
      </c>
    </row>
    <row r="83" spans="1:14" ht="15" thickBot="1" x14ac:dyDescent="0.35">
      <c r="A83" s="6" t="s">
        <v>276</v>
      </c>
      <c r="B83" s="7" t="s">
        <v>20</v>
      </c>
      <c r="C83" s="8">
        <v>45776</v>
      </c>
      <c r="D83" s="7" t="s">
        <v>39</v>
      </c>
      <c r="E83" s="7" t="s">
        <v>43</v>
      </c>
      <c r="F83" s="7" t="s">
        <v>44</v>
      </c>
      <c r="G83" s="9">
        <v>16277</v>
      </c>
      <c r="H83" s="9">
        <v>1109</v>
      </c>
      <c r="I83" s="9">
        <v>375</v>
      </c>
      <c r="J83" s="9">
        <v>2225</v>
      </c>
      <c r="K83" s="10">
        <v>1044</v>
      </c>
      <c r="L83" s="9">
        <v>121889</v>
      </c>
      <c r="M83" s="6" t="s">
        <v>34</v>
      </c>
      <c r="N83" s="11">
        <f t="shared" si="2"/>
        <v>0.14571454356012437</v>
      </c>
    </row>
    <row r="84" spans="1:14" ht="15" thickBot="1" x14ac:dyDescent="0.35">
      <c r="A84" s="6" t="s">
        <v>268</v>
      </c>
      <c r="B84" s="7" t="s">
        <v>20</v>
      </c>
      <c r="C84" s="8">
        <v>45907</v>
      </c>
      <c r="D84" s="7" t="s">
        <v>26</v>
      </c>
      <c r="E84" s="7" t="s">
        <v>122</v>
      </c>
      <c r="F84" s="7" t="s">
        <v>123</v>
      </c>
      <c r="G84" s="9">
        <v>4472</v>
      </c>
      <c r="H84" s="9">
        <v>1301</v>
      </c>
      <c r="I84" s="9">
        <v>956</v>
      </c>
      <c r="J84" s="9">
        <v>1186</v>
      </c>
      <c r="K84" s="10">
        <v>3363</v>
      </c>
      <c r="L84" s="9">
        <v>46471</v>
      </c>
      <c r="M84" s="6" t="s">
        <v>23</v>
      </c>
      <c r="N84" s="11">
        <f t="shared" si="2"/>
        <v>0.14479998278496267</v>
      </c>
    </row>
    <row r="85" spans="1:14" ht="15" thickBot="1" x14ac:dyDescent="0.35">
      <c r="A85" s="6" t="s">
        <v>109</v>
      </c>
      <c r="B85" s="7" t="s">
        <v>20</v>
      </c>
      <c r="C85" s="8">
        <v>45745</v>
      </c>
      <c r="D85" s="7" t="s">
        <v>31</v>
      </c>
      <c r="E85" s="7" t="s">
        <v>43</v>
      </c>
      <c r="F85" s="7" t="s">
        <v>44</v>
      </c>
      <c r="G85" s="9">
        <v>19461</v>
      </c>
      <c r="H85" s="9">
        <v>1382</v>
      </c>
      <c r="I85" s="9">
        <v>445</v>
      </c>
      <c r="J85" s="9">
        <v>1307</v>
      </c>
      <c r="K85" s="10">
        <v>84691</v>
      </c>
      <c r="L85" s="9">
        <v>151453</v>
      </c>
      <c r="M85" s="6" t="s">
        <v>34</v>
      </c>
      <c r="N85" s="11">
        <f t="shared" si="2"/>
        <v>0.14055845707909384</v>
      </c>
    </row>
    <row r="86" spans="1:14" ht="15" thickBot="1" x14ac:dyDescent="0.35">
      <c r="A86" s="6" t="s">
        <v>247</v>
      </c>
      <c r="B86" s="7" t="s">
        <v>14</v>
      </c>
      <c r="C86" s="8">
        <v>45617</v>
      </c>
      <c r="D86" s="7" t="s">
        <v>15</v>
      </c>
      <c r="E86" s="7" t="s">
        <v>43</v>
      </c>
      <c r="F86" s="7" t="s">
        <v>44</v>
      </c>
      <c r="G86" s="9">
        <v>8229</v>
      </c>
      <c r="H86" s="9">
        <v>977</v>
      </c>
      <c r="I86" s="9">
        <v>152</v>
      </c>
      <c r="J86" s="9">
        <v>1633</v>
      </c>
      <c r="K86" s="10">
        <v>71447</v>
      </c>
      <c r="L86" s="9">
        <v>67723</v>
      </c>
      <c r="M86" s="6" t="s">
        <v>52</v>
      </c>
      <c r="N86" s="11">
        <f t="shared" si="2"/>
        <v>0.13818052950991538</v>
      </c>
    </row>
    <row r="87" spans="1:14" ht="15" thickBot="1" x14ac:dyDescent="0.35">
      <c r="A87" s="6" t="s">
        <v>228</v>
      </c>
      <c r="B87" s="7" t="s">
        <v>14</v>
      </c>
      <c r="C87" s="8">
        <v>45943</v>
      </c>
      <c r="D87" s="7" t="s">
        <v>31</v>
      </c>
      <c r="E87" s="7" t="s">
        <v>32</v>
      </c>
      <c r="F87" s="7" t="s">
        <v>57</v>
      </c>
      <c r="G87" s="9">
        <v>19302</v>
      </c>
      <c r="H87" s="9">
        <v>1367</v>
      </c>
      <c r="I87" s="9">
        <v>188</v>
      </c>
      <c r="J87" s="9">
        <v>637</v>
      </c>
      <c r="K87" s="10">
        <v>31404</v>
      </c>
      <c r="L87" s="9">
        <v>154044</v>
      </c>
      <c r="M87" s="6" t="s">
        <v>23</v>
      </c>
      <c r="N87" s="11">
        <f t="shared" si="2"/>
        <v>0.13539638025499209</v>
      </c>
    </row>
    <row r="88" spans="1:14" ht="15" thickBot="1" x14ac:dyDescent="0.35">
      <c r="A88" s="6" t="s">
        <v>132</v>
      </c>
      <c r="B88" s="7" t="s">
        <v>25</v>
      </c>
      <c r="C88" s="8">
        <v>45480</v>
      </c>
      <c r="D88" s="7" t="s">
        <v>26</v>
      </c>
      <c r="E88" s="7" t="s">
        <v>21</v>
      </c>
      <c r="F88" s="7" t="s">
        <v>22</v>
      </c>
      <c r="G88" s="9">
        <v>24625</v>
      </c>
      <c r="H88" s="9">
        <v>749</v>
      </c>
      <c r="I88" s="9">
        <v>193</v>
      </c>
      <c r="J88" s="9">
        <v>1340</v>
      </c>
      <c r="K88" s="10">
        <v>4890</v>
      </c>
      <c r="L88" s="9">
        <v>189381</v>
      </c>
      <c r="M88" s="6" t="s">
        <v>18</v>
      </c>
      <c r="N88" s="11">
        <f t="shared" si="2"/>
        <v>0.13500298340382616</v>
      </c>
    </row>
    <row r="89" spans="1:14" ht="15" thickBot="1" x14ac:dyDescent="0.35">
      <c r="A89" s="6" t="s">
        <v>81</v>
      </c>
      <c r="B89" s="7" t="s">
        <v>25</v>
      </c>
      <c r="C89" s="8">
        <v>45913</v>
      </c>
      <c r="D89" s="7" t="s">
        <v>39</v>
      </c>
      <c r="E89" s="7" t="s">
        <v>40</v>
      </c>
      <c r="F89" s="7" t="s">
        <v>41</v>
      </c>
      <c r="G89" s="9">
        <v>17106</v>
      </c>
      <c r="H89" s="9">
        <v>702</v>
      </c>
      <c r="I89" s="9">
        <v>459</v>
      </c>
      <c r="J89" s="9">
        <v>999</v>
      </c>
      <c r="K89" s="10">
        <v>59627</v>
      </c>
      <c r="L89" s="9">
        <v>136059</v>
      </c>
      <c r="M89" s="6" t="s">
        <v>23</v>
      </c>
      <c r="N89" s="11">
        <f t="shared" si="2"/>
        <v>0.13425793222058077</v>
      </c>
    </row>
    <row r="90" spans="1:14" ht="15" thickBot="1" x14ac:dyDescent="0.35">
      <c r="A90" s="6" t="s">
        <v>212</v>
      </c>
      <c r="B90" s="7" t="s">
        <v>14</v>
      </c>
      <c r="C90" s="8">
        <v>45608</v>
      </c>
      <c r="D90" s="7" t="s">
        <v>15</v>
      </c>
      <c r="E90" s="7" t="s">
        <v>21</v>
      </c>
      <c r="F90" s="7" t="s">
        <v>22</v>
      </c>
      <c r="G90" s="9">
        <v>19022</v>
      </c>
      <c r="H90" s="9">
        <v>541</v>
      </c>
      <c r="I90" s="9">
        <v>575</v>
      </c>
      <c r="J90" s="9">
        <v>2063</v>
      </c>
      <c r="K90" s="10">
        <v>42743</v>
      </c>
      <c r="L90" s="9">
        <v>150169</v>
      </c>
      <c r="M90" s="6" t="s">
        <v>18</v>
      </c>
      <c r="N90" s="11">
        <f t="shared" si="2"/>
        <v>0.13410224480418728</v>
      </c>
    </row>
    <row r="91" spans="1:14" ht="15" thickBot="1" x14ac:dyDescent="0.35">
      <c r="A91" s="6" t="s">
        <v>102</v>
      </c>
      <c r="B91" s="7" t="s">
        <v>25</v>
      </c>
      <c r="C91" s="8">
        <v>45685</v>
      </c>
      <c r="D91" s="7" t="s">
        <v>26</v>
      </c>
      <c r="E91" s="7" t="s">
        <v>43</v>
      </c>
      <c r="F91" s="7" t="s">
        <v>44</v>
      </c>
      <c r="G91" s="9">
        <v>9239</v>
      </c>
      <c r="H91" s="9">
        <v>1477</v>
      </c>
      <c r="I91" s="9">
        <v>631</v>
      </c>
      <c r="J91" s="9">
        <v>1556</v>
      </c>
      <c r="K91" s="10">
        <v>11580</v>
      </c>
      <c r="L91" s="9">
        <v>84738</v>
      </c>
      <c r="M91" s="6" t="s">
        <v>29</v>
      </c>
      <c r="N91" s="11">
        <f t="shared" si="2"/>
        <v>0.13390686586891359</v>
      </c>
    </row>
    <row r="92" spans="1:14" ht="15" thickBot="1" x14ac:dyDescent="0.35">
      <c r="A92" s="6" t="s">
        <v>191</v>
      </c>
      <c r="B92" s="7" t="s">
        <v>14</v>
      </c>
      <c r="C92" s="8">
        <v>45586</v>
      </c>
      <c r="D92" s="7" t="s">
        <v>26</v>
      </c>
      <c r="E92" s="7" t="s">
        <v>48</v>
      </c>
      <c r="F92" s="7" t="s">
        <v>32</v>
      </c>
      <c r="G92" s="9">
        <v>20777</v>
      </c>
      <c r="H92" s="9">
        <v>962</v>
      </c>
      <c r="I92" s="9">
        <v>308</v>
      </c>
      <c r="J92" s="9">
        <v>2777</v>
      </c>
      <c r="K92" s="10">
        <v>25529</v>
      </c>
      <c r="L92" s="9">
        <v>165354</v>
      </c>
      <c r="M92" s="6" t="s">
        <v>18</v>
      </c>
      <c r="N92" s="11">
        <f t="shared" si="2"/>
        <v>0.13333212380710477</v>
      </c>
    </row>
    <row r="93" spans="1:14" ht="15" thickBot="1" x14ac:dyDescent="0.35">
      <c r="A93" s="6" t="s">
        <v>114</v>
      </c>
      <c r="B93" s="7" t="s">
        <v>47</v>
      </c>
      <c r="C93" s="8">
        <v>45719</v>
      </c>
      <c r="D93" s="7" t="s">
        <v>39</v>
      </c>
      <c r="E93" s="7" t="s">
        <v>32</v>
      </c>
      <c r="F93" s="7" t="s">
        <v>57</v>
      </c>
      <c r="G93" s="9">
        <v>24928</v>
      </c>
      <c r="H93" s="9">
        <v>214</v>
      </c>
      <c r="I93" s="9">
        <v>765</v>
      </c>
      <c r="J93" s="9">
        <v>1556</v>
      </c>
      <c r="K93" s="10">
        <v>5239</v>
      </c>
      <c r="L93" s="9">
        <v>194571</v>
      </c>
      <c r="M93" s="6" t="s">
        <v>52</v>
      </c>
      <c r="N93" s="11">
        <f t="shared" si="2"/>
        <v>0.13314933880177415</v>
      </c>
    </row>
    <row r="94" spans="1:14" ht="15" thickBot="1" x14ac:dyDescent="0.35">
      <c r="A94" s="6" t="s">
        <v>309</v>
      </c>
      <c r="B94" s="7" t="s">
        <v>14</v>
      </c>
      <c r="C94" s="8">
        <v>45708</v>
      </c>
      <c r="D94" s="7" t="s">
        <v>39</v>
      </c>
      <c r="E94" s="7" t="s">
        <v>48</v>
      </c>
      <c r="F94" s="7" t="s">
        <v>32</v>
      </c>
      <c r="G94" s="9">
        <v>15703</v>
      </c>
      <c r="H94" s="9">
        <v>1381</v>
      </c>
      <c r="I94" s="9">
        <v>639</v>
      </c>
      <c r="J94" s="9">
        <v>984</v>
      </c>
      <c r="K94" s="10">
        <v>10967</v>
      </c>
      <c r="L94" s="9">
        <v>133747</v>
      </c>
      <c r="M94" s="6" t="s">
        <v>52</v>
      </c>
      <c r="N94" s="11">
        <f t="shared" si="2"/>
        <v>0.13251138343289942</v>
      </c>
    </row>
    <row r="95" spans="1:14" ht="15" thickBot="1" x14ac:dyDescent="0.35">
      <c r="A95" s="6" t="s">
        <v>38</v>
      </c>
      <c r="B95" s="7" t="s">
        <v>25</v>
      </c>
      <c r="C95" s="8">
        <v>45467</v>
      </c>
      <c r="D95" s="7" t="s">
        <v>39</v>
      </c>
      <c r="E95" s="7" t="s">
        <v>40</v>
      </c>
      <c r="F95" s="7" t="s">
        <v>41</v>
      </c>
      <c r="G95" s="9">
        <v>7713</v>
      </c>
      <c r="H95" s="9">
        <v>575</v>
      </c>
      <c r="I95" s="9">
        <v>417</v>
      </c>
      <c r="J95" s="9">
        <v>336</v>
      </c>
      <c r="K95" s="10">
        <v>61660</v>
      </c>
      <c r="L95" s="9">
        <v>66017</v>
      </c>
      <c r="M95" s="6" t="s">
        <v>34</v>
      </c>
      <c r="N95" s="11">
        <f t="shared" si="2"/>
        <v>0.13185997546086614</v>
      </c>
    </row>
    <row r="96" spans="1:14" ht="15" thickBot="1" x14ac:dyDescent="0.35">
      <c r="A96" s="6" t="s">
        <v>144</v>
      </c>
      <c r="B96" s="7" t="s">
        <v>25</v>
      </c>
      <c r="C96" s="8">
        <v>45925</v>
      </c>
      <c r="D96" s="7" t="s">
        <v>15</v>
      </c>
      <c r="E96" s="7" t="s">
        <v>37</v>
      </c>
      <c r="F96" s="7"/>
      <c r="G96" s="9">
        <v>20564</v>
      </c>
      <c r="H96" s="9">
        <v>1433</v>
      </c>
      <c r="I96" s="9">
        <v>488</v>
      </c>
      <c r="J96" s="9">
        <v>1015</v>
      </c>
      <c r="K96" s="10">
        <v>24333</v>
      </c>
      <c r="L96" s="9">
        <v>172130</v>
      </c>
      <c r="M96" s="6" t="s">
        <v>23</v>
      </c>
      <c r="N96" s="11">
        <f t="shared" si="2"/>
        <v>0.13062801371056759</v>
      </c>
    </row>
    <row r="97" spans="1:14" ht="15" thickBot="1" x14ac:dyDescent="0.35">
      <c r="A97" s="6" t="s">
        <v>338</v>
      </c>
      <c r="B97" s="7" t="s">
        <v>47</v>
      </c>
      <c r="C97" s="8">
        <v>45462</v>
      </c>
      <c r="D97" s="7" t="s">
        <v>39</v>
      </c>
      <c r="E97" s="7" t="s">
        <v>62</v>
      </c>
      <c r="F97" s="7" t="s">
        <v>37</v>
      </c>
      <c r="G97" s="9">
        <v>20444</v>
      </c>
      <c r="H97" s="9">
        <v>233</v>
      </c>
      <c r="I97" s="9">
        <v>189</v>
      </c>
      <c r="J97" s="9">
        <v>2879</v>
      </c>
      <c r="K97" s="10">
        <v>28185</v>
      </c>
      <c r="L97" s="9">
        <v>159891</v>
      </c>
      <c r="M97" s="6" t="s">
        <v>34</v>
      </c>
      <c r="N97" s="11">
        <f t="shared" si="2"/>
        <v>0.13050140408153055</v>
      </c>
    </row>
    <row r="98" spans="1:14" ht="15" thickBot="1" x14ac:dyDescent="0.35">
      <c r="A98" s="6" t="s">
        <v>13</v>
      </c>
      <c r="B98" s="7" t="s">
        <v>14</v>
      </c>
      <c r="C98" s="8">
        <v>45649</v>
      </c>
      <c r="D98" s="7" t="s">
        <v>15</v>
      </c>
      <c r="E98" s="7" t="s">
        <v>16</v>
      </c>
      <c r="F98" s="7" t="s">
        <v>17</v>
      </c>
      <c r="G98" s="9">
        <v>24516</v>
      </c>
      <c r="H98" s="9">
        <v>976</v>
      </c>
      <c r="I98" s="9">
        <v>974</v>
      </c>
      <c r="J98" s="9">
        <v>2675</v>
      </c>
      <c r="K98" s="10">
        <v>23275</v>
      </c>
      <c r="L98" s="9">
        <v>202932</v>
      </c>
      <c r="M98" s="6" t="s">
        <v>18</v>
      </c>
      <c r="N98" s="11">
        <f t="shared" si="2"/>
        <v>0.13041807107799658</v>
      </c>
    </row>
    <row r="99" spans="1:14" ht="15" thickBot="1" x14ac:dyDescent="0.35">
      <c r="A99" s="6" t="s">
        <v>128</v>
      </c>
      <c r="B99" s="7" t="s">
        <v>20</v>
      </c>
      <c r="C99" s="8">
        <v>45635</v>
      </c>
      <c r="D99" s="7" t="s">
        <v>15</v>
      </c>
      <c r="E99" s="7" t="s">
        <v>21</v>
      </c>
      <c r="F99" s="7" t="s">
        <v>22</v>
      </c>
      <c r="G99" s="9">
        <v>15051</v>
      </c>
      <c r="H99" s="9">
        <v>268</v>
      </c>
      <c r="I99" s="9">
        <v>251</v>
      </c>
      <c r="J99" s="9">
        <v>783</v>
      </c>
      <c r="K99" s="10">
        <v>34154</v>
      </c>
      <c r="L99" s="9">
        <v>119671</v>
      </c>
      <c r="M99" s="6" t="s">
        <v>34</v>
      </c>
      <c r="N99" s="11">
        <f t="shared" si="2"/>
        <v>0.13010670922779954</v>
      </c>
    </row>
    <row r="100" spans="1:14" ht="15" thickBot="1" x14ac:dyDescent="0.35">
      <c r="A100" s="6" t="s">
        <v>95</v>
      </c>
      <c r="B100" s="7" t="s">
        <v>14</v>
      </c>
      <c r="C100" s="8">
        <v>45712</v>
      </c>
      <c r="D100" s="7" t="s">
        <v>15</v>
      </c>
      <c r="E100" s="7" t="s">
        <v>32</v>
      </c>
      <c r="F100" s="7" t="s">
        <v>57</v>
      </c>
      <c r="G100" s="9">
        <v>23949</v>
      </c>
      <c r="H100" s="9">
        <v>356</v>
      </c>
      <c r="I100" s="9">
        <v>616</v>
      </c>
      <c r="J100" s="9">
        <v>1847</v>
      </c>
      <c r="K100" s="10">
        <v>3144</v>
      </c>
      <c r="L100" s="9">
        <v>192999</v>
      </c>
      <c r="M100" s="6" t="s">
        <v>34</v>
      </c>
      <c r="N100" s="11">
        <f t="shared" si="2"/>
        <v>0.12912502137316773</v>
      </c>
    </row>
    <row r="101" spans="1:14" ht="15" thickBot="1" x14ac:dyDescent="0.35">
      <c r="A101" s="6" t="s">
        <v>182</v>
      </c>
      <c r="B101" s="7" t="s">
        <v>25</v>
      </c>
      <c r="C101" s="8">
        <v>45745</v>
      </c>
      <c r="D101" s="7" t="s">
        <v>39</v>
      </c>
      <c r="E101" s="7" t="s">
        <v>27</v>
      </c>
      <c r="F101" s="7" t="s">
        <v>28</v>
      </c>
      <c r="G101" s="9">
        <v>23508</v>
      </c>
      <c r="H101" s="9">
        <v>585</v>
      </c>
      <c r="I101" s="9">
        <v>743</v>
      </c>
      <c r="J101" s="9">
        <v>2155</v>
      </c>
      <c r="K101" s="10">
        <v>3704</v>
      </c>
      <c r="L101" s="9">
        <v>194268</v>
      </c>
      <c r="M101" s="6" t="s">
        <v>34</v>
      </c>
      <c r="N101" s="11">
        <f t="shared" si="2"/>
        <v>0.1278440093067309</v>
      </c>
    </row>
    <row r="102" spans="1:14" ht="15" thickBot="1" x14ac:dyDescent="0.35">
      <c r="A102" s="6" t="s">
        <v>238</v>
      </c>
      <c r="B102" s="7" t="s">
        <v>14</v>
      </c>
      <c r="C102" s="8">
        <v>45567</v>
      </c>
      <c r="D102" s="7" t="s">
        <v>31</v>
      </c>
      <c r="E102" s="7" t="s">
        <v>40</v>
      </c>
      <c r="F102" s="7" t="s">
        <v>41</v>
      </c>
      <c r="G102" s="9">
        <v>5086</v>
      </c>
      <c r="H102" s="9">
        <v>1336</v>
      </c>
      <c r="I102" s="9">
        <v>897</v>
      </c>
      <c r="J102" s="9">
        <v>1715</v>
      </c>
      <c r="K102" s="10">
        <v>60592</v>
      </c>
      <c r="L102" s="9">
        <v>57772</v>
      </c>
      <c r="M102" s="6" t="s">
        <v>29</v>
      </c>
      <c r="N102" s="11">
        <f t="shared" si="2"/>
        <v>0.12668766876687668</v>
      </c>
    </row>
    <row r="103" spans="1:14" ht="15" thickBot="1" x14ac:dyDescent="0.35">
      <c r="A103" s="6" t="s">
        <v>179</v>
      </c>
      <c r="B103" s="7" t="s">
        <v>14</v>
      </c>
      <c r="C103" s="8">
        <v>45624</v>
      </c>
      <c r="D103" s="7" t="s">
        <v>39</v>
      </c>
      <c r="E103" s="7" t="s">
        <v>48</v>
      </c>
      <c r="F103" s="7" t="s">
        <v>32</v>
      </c>
      <c r="G103" s="9">
        <v>19055</v>
      </c>
      <c r="H103" s="9">
        <v>443</v>
      </c>
      <c r="I103" s="9">
        <v>976</v>
      </c>
      <c r="J103" s="9">
        <v>869</v>
      </c>
      <c r="K103" s="10">
        <v>75437</v>
      </c>
      <c r="L103" s="9">
        <v>161863</v>
      </c>
      <c r="M103" s="6" t="s">
        <v>29</v>
      </c>
      <c r="N103" s="11">
        <f t="shared" si="2"/>
        <v>0.12648968572187591</v>
      </c>
    </row>
    <row r="104" spans="1:14" ht="15" thickBot="1" x14ac:dyDescent="0.35">
      <c r="A104" s="6" t="s">
        <v>249</v>
      </c>
      <c r="B104" s="7" t="s">
        <v>20</v>
      </c>
      <c r="C104" s="8">
        <v>45923</v>
      </c>
      <c r="D104" s="7" t="s">
        <v>26</v>
      </c>
      <c r="E104" s="7" t="s">
        <v>32</v>
      </c>
      <c r="F104" s="7" t="s">
        <v>57</v>
      </c>
      <c r="G104" s="9">
        <v>17147</v>
      </c>
      <c r="H104" s="9">
        <v>286</v>
      </c>
      <c r="I104" s="9">
        <v>291</v>
      </c>
      <c r="J104" s="9">
        <v>2439</v>
      </c>
      <c r="K104" s="10">
        <v>45631</v>
      </c>
      <c r="L104" s="9">
        <v>140494</v>
      </c>
      <c r="M104" s="6" t="s">
        <v>23</v>
      </c>
      <c r="N104" s="11">
        <f t="shared" si="2"/>
        <v>0.12615485358805359</v>
      </c>
    </row>
    <row r="105" spans="1:14" ht="15" thickBot="1" x14ac:dyDescent="0.35">
      <c r="A105" s="6" t="s">
        <v>65</v>
      </c>
      <c r="B105" s="7" t="s">
        <v>20</v>
      </c>
      <c r="C105" s="8">
        <v>45680</v>
      </c>
      <c r="D105" s="7" t="s">
        <v>31</v>
      </c>
      <c r="E105" s="7" t="s">
        <v>48</v>
      </c>
      <c r="F105" s="7" t="s">
        <v>32</v>
      </c>
      <c r="G105" s="9">
        <v>23168</v>
      </c>
      <c r="H105" s="9">
        <v>1265</v>
      </c>
      <c r="I105" s="9">
        <v>441</v>
      </c>
      <c r="J105" s="9">
        <v>1612</v>
      </c>
      <c r="K105" s="10">
        <v>66615</v>
      </c>
      <c r="L105" s="9">
        <v>197795</v>
      </c>
      <c r="M105" s="6" t="s">
        <v>34</v>
      </c>
      <c r="N105" s="11">
        <f t="shared" si="2"/>
        <v>0.12575646502692181</v>
      </c>
    </row>
    <row r="106" spans="1:14" ht="15" thickBot="1" x14ac:dyDescent="0.35">
      <c r="A106" s="6" t="s">
        <v>315</v>
      </c>
      <c r="B106" s="7" t="s">
        <v>47</v>
      </c>
      <c r="C106" s="8">
        <v>45582</v>
      </c>
      <c r="D106" s="7" t="s">
        <v>31</v>
      </c>
      <c r="E106" s="7" t="s">
        <v>27</v>
      </c>
      <c r="F106" s="7" t="s">
        <v>28</v>
      </c>
      <c r="G106" s="9">
        <v>18608</v>
      </c>
      <c r="H106" s="9">
        <v>1338</v>
      </c>
      <c r="I106" s="9">
        <v>365</v>
      </c>
      <c r="J106" s="9">
        <v>2289</v>
      </c>
      <c r="K106" s="10">
        <v>20785</v>
      </c>
      <c r="L106" s="9">
        <v>161999</v>
      </c>
      <c r="M106" s="6" t="s">
        <v>18</v>
      </c>
      <c r="N106" s="11">
        <f t="shared" si="2"/>
        <v>0.12537731714393299</v>
      </c>
    </row>
    <row r="107" spans="1:14" ht="15" thickBot="1" x14ac:dyDescent="0.35">
      <c r="A107" s="6" t="s">
        <v>175</v>
      </c>
      <c r="B107" s="7" t="s">
        <v>20</v>
      </c>
      <c r="C107" s="8">
        <v>45586</v>
      </c>
      <c r="D107" s="7" t="s">
        <v>15</v>
      </c>
      <c r="E107" s="7" t="s">
        <v>48</v>
      </c>
      <c r="F107" s="7" t="s">
        <v>32</v>
      </c>
      <c r="G107" s="9">
        <v>20271</v>
      </c>
      <c r="H107" s="9">
        <v>512</v>
      </c>
      <c r="I107" s="9">
        <v>286</v>
      </c>
      <c r="J107" s="9">
        <v>1982</v>
      </c>
      <c r="K107" s="10">
        <v>43225</v>
      </c>
      <c r="L107" s="9">
        <v>168335</v>
      </c>
      <c r="M107" s="6" t="s">
        <v>34</v>
      </c>
      <c r="N107" s="11">
        <f t="shared" si="2"/>
        <v>0.12516113701844536</v>
      </c>
    </row>
    <row r="108" spans="1:14" ht="15" thickBot="1" x14ac:dyDescent="0.35">
      <c r="A108" s="6" t="s">
        <v>78</v>
      </c>
      <c r="B108" s="7" t="s">
        <v>25</v>
      </c>
      <c r="C108" s="8">
        <v>45766</v>
      </c>
      <c r="D108" s="7" t="s">
        <v>39</v>
      </c>
      <c r="E108" s="7" t="s">
        <v>71</v>
      </c>
      <c r="F108" s="7"/>
      <c r="G108" s="9">
        <v>20384</v>
      </c>
      <c r="H108" s="9">
        <v>344</v>
      </c>
      <c r="I108" s="9">
        <v>956</v>
      </c>
      <c r="J108" s="9">
        <v>655</v>
      </c>
      <c r="K108" s="10">
        <v>67621</v>
      </c>
      <c r="L108" s="9">
        <v>175720</v>
      </c>
      <c r="M108" s="6" t="s">
        <v>29</v>
      </c>
      <c r="N108" s="11">
        <f t="shared" si="2"/>
        <v>0.12340086501251991</v>
      </c>
    </row>
    <row r="109" spans="1:14" ht="15" thickBot="1" x14ac:dyDescent="0.35">
      <c r="A109" s="6" t="s">
        <v>188</v>
      </c>
      <c r="B109" s="7" t="s">
        <v>20</v>
      </c>
      <c r="C109" s="8">
        <v>45593</v>
      </c>
      <c r="D109" s="7" t="s">
        <v>39</v>
      </c>
      <c r="E109" s="7" t="s">
        <v>62</v>
      </c>
      <c r="F109" s="7" t="s">
        <v>37</v>
      </c>
      <c r="G109" s="9">
        <v>8981</v>
      </c>
      <c r="H109" s="9">
        <v>1138</v>
      </c>
      <c r="I109" s="9">
        <v>764</v>
      </c>
      <c r="J109" s="9">
        <v>2555</v>
      </c>
      <c r="K109" s="10">
        <v>92810</v>
      </c>
      <c r="L109" s="9">
        <v>88320</v>
      </c>
      <c r="M109" s="6" t="s">
        <v>52</v>
      </c>
      <c r="N109" s="11">
        <f t="shared" si="2"/>
        <v>0.1232223731884058</v>
      </c>
    </row>
    <row r="110" spans="1:14" ht="15" thickBot="1" x14ac:dyDescent="0.35">
      <c r="A110" s="6" t="s">
        <v>201</v>
      </c>
      <c r="B110" s="7" t="s">
        <v>14</v>
      </c>
      <c r="C110" s="8">
        <v>45496</v>
      </c>
      <c r="D110" s="7" t="s">
        <v>31</v>
      </c>
      <c r="E110" s="7" t="s">
        <v>62</v>
      </c>
      <c r="F110" s="7" t="s">
        <v>37</v>
      </c>
      <c r="G110" s="9">
        <v>24877</v>
      </c>
      <c r="H110" s="9">
        <v>262</v>
      </c>
      <c r="I110" s="9">
        <v>513</v>
      </c>
      <c r="J110" s="9">
        <v>648</v>
      </c>
      <c r="K110" s="10">
        <v>47544</v>
      </c>
      <c r="L110" s="9">
        <v>208280</v>
      </c>
      <c r="M110" s="6" t="s">
        <v>29</v>
      </c>
      <c r="N110" s="11">
        <f t="shared" si="2"/>
        <v>0.12316112924908777</v>
      </c>
    </row>
    <row r="111" spans="1:14" ht="15" thickBot="1" x14ac:dyDescent="0.35">
      <c r="A111" s="6" t="s">
        <v>153</v>
      </c>
      <c r="B111" s="7" t="s">
        <v>47</v>
      </c>
      <c r="C111" s="8">
        <v>45512</v>
      </c>
      <c r="D111" s="7" t="s">
        <v>39</v>
      </c>
      <c r="E111" s="7" t="s">
        <v>43</v>
      </c>
      <c r="F111" s="7" t="s">
        <v>44</v>
      </c>
      <c r="G111" s="9">
        <v>24355</v>
      </c>
      <c r="H111" s="9">
        <v>1087</v>
      </c>
      <c r="I111" s="9">
        <v>686</v>
      </c>
      <c r="J111" s="9">
        <v>2426</v>
      </c>
      <c r="K111" s="10">
        <v>24963</v>
      </c>
      <c r="L111" s="9">
        <v>212307</v>
      </c>
      <c r="M111" s="6" t="s">
        <v>18</v>
      </c>
      <c r="N111" s="11">
        <f t="shared" si="2"/>
        <v>0.1230670679723231</v>
      </c>
    </row>
    <row r="112" spans="1:14" ht="15" thickBot="1" x14ac:dyDescent="0.35">
      <c r="A112" s="6" t="s">
        <v>261</v>
      </c>
      <c r="B112" s="7" t="s">
        <v>20</v>
      </c>
      <c r="C112" s="8">
        <v>45926</v>
      </c>
      <c r="D112" s="7" t="s">
        <v>39</v>
      </c>
      <c r="E112" s="7" t="s">
        <v>16</v>
      </c>
      <c r="F112" s="7" t="s">
        <v>17</v>
      </c>
      <c r="G112" s="9">
        <v>16369</v>
      </c>
      <c r="H112" s="9">
        <v>1452</v>
      </c>
      <c r="I112" s="9">
        <v>493</v>
      </c>
      <c r="J112" s="9">
        <v>1217</v>
      </c>
      <c r="K112" s="10">
        <v>91440</v>
      </c>
      <c r="L112" s="9">
        <v>149834</v>
      </c>
      <c r="M112" s="6" t="s">
        <v>23</v>
      </c>
      <c r="N112" s="11">
        <f t="shared" si="2"/>
        <v>0.12222859965027964</v>
      </c>
    </row>
    <row r="113" spans="1:14" ht="15" thickBot="1" x14ac:dyDescent="0.35">
      <c r="A113" s="6" t="s">
        <v>108</v>
      </c>
      <c r="B113" s="7" t="s">
        <v>47</v>
      </c>
      <c r="C113" s="8">
        <v>45499</v>
      </c>
      <c r="D113" s="7" t="s">
        <v>26</v>
      </c>
      <c r="E113" s="7" t="s">
        <v>43</v>
      </c>
      <c r="F113" s="7" t="s">
        <v>44</v>
      </c>
      <c r="G113" s="9">
        <v>12176</v>
      </c>
      <c r="H113" s="9">
        <v>1005</v>
      </c>
      <c r="I113" s="9">
        <v>862</v>
      </c>
      <c r="J113" s="9">
        <v>974</v>
      </c>
      <c r="K113" s="10">
        <v>2285</v>
      </c>
      <c r="L113" s="9">
        <v>116619</v>
      </c>
      <c r="M113" s="6" t="s">
        <v>34</v>
      </c>
      <c r="N113" s="11">
        <f t="shared" si="2"/>
        <v>0.12041777068916729</v>
      </c>
    </row>
    <row r="114" spans="1:14" ht="15" thickBot="1" x14ac:dyDescent="0.35">
      <c r="A114" s="6" t="s">
        <v>272</v>
      </c>
      <c r="B114" s="7" t="s">
        <v>47</v>
      </c>
      <c r="C114" s="8">
        <v>45474</v>
      </c>
      <c r="D114" s="7" t="s">
        <v>31</v>
      </c>
      <c r="E114" s="7" t="s">
        <v>27</v>
      </c>
      <c r="F114" s="7" t="s">
        <v>28</v>
      </c>
      <c r="G114" s="9">
        <v>3761</v>
      </c>
      <c r="H114" s="9">
        <v>651</v>
      </c>
      <c r="I114" s="9">
        <v>493</v>
      </c>
      <c r="J114" s="9">
        <v>2294</v>
      </c>
      <c r="K114" s="10">
        <v>71696</v>
      </c>
      <c r="L114" s="9">
        <v>41177</v>
      </c>
      <c r="M114" s="6" t="s">
        <v>18</v>
      </c>
      <c r="N114" s="11">
        <f t="shared" si="2"/>
        <v>0.11911989702989532</v>
      </c>
    </row>
    <row r="115" spans="1:14" ht="15" thickBot="1" x14ac:dyDescent="0.35">
      <c r="A115" s="6" t="s">
        <v>278</v>
      </c>
      <c r="B115" s="7" t="s">
        <v>20</v>
      </c>
      <c r="C115" s="8">
        <v>45444</v>
      </c>
      <c r="D115" s="7" t="s">
        <v>15</v>
      </c>
      <c r="E115" s="7" t="s">
        <v>40</v>
      </c>
      <c r="F115" s="7" t="s">
        <v>41</v>
      </c>
      <c r="G115" s="9">
        <v>19844</v>
      </c>
      <c r="H115" s="9">
        <v>1022</v>
      </c>
      <c r="I115" s="9">
        <v>860</v>
      </c>
      <c r="J115" s="9">
        <v>2570</v>
      </c>
      <c r="K115" s="10">
        <v>23719</v>
      </c>
      <c r="L115" s="9">
        <v>182628</v>
      </c>
      <c r="M115" s="6" t="s">
        <v>29</v>
      </c>
      <c r="N115" s="11">
        <f t="shared" si="2"/>
        <v>0.11896313818253498</v>
      </c>
    </row>
    <row r="116" spans="1:14" ht="15" thickBot="1" x14ac:dyDescent="0.35">
      <c r="A116" s="6" t="s">
        <v>151</v>
      </c>
      <c r="B116" s="7" t="s">
        <v>47</v>
      </c>
      <c r="C116" s="8">
        <v>45464</v>
      </c>
      <c r="D116" s="7" t="s">
        <v>31</v>
      </c>
      <c r="E116" s="7" t="s">
        <v>32</v>
      </c>
      <c r="F116" s="7" t="s">
        <v>33</v>
      </c>
      <c r="G116" s="9">
        <v>21216</v>
      </c>
      <c r="H116" s="9">
        <v>1207</v>
      </c>
      <c r="I116" s="9">
        <v>859</v>
      </c>
      <c r="J116" s="9">
        <v>328</v>
      </c>
      <c r="K116" s="10">
        <v>91296</v>
      </c>
      <c r="L116" s="9">
        <v>196683</v>
      </c>
      <c r="M116" s="6" t="s">
        <v>29</v>
      </c>
      <c r="N116" s="11">
        <f t="shared" si="2"/>
        <v>0.1183732198512327</v>
      </c>
    </row>
    <row r="117" spans="1:14" ht="15" thickBot="1" x14ac:dyDescent="0.35">
      <c r="A117" s="6" t="s">
        <v>105</v>
      </c>
      <c r="B117" s="7" t="s">
        <v>25</v>
      </c>
      <c r="C117" s="8">
        <v>45504</v>
      </c>
      <c r="D117" s="7" t="s">
        <v>15</v>
      </c>
      <c r="E117" s="7" t="s">
        <v>16</v>
      </c>
      <c r="F117" s="7" t="s">
        <v>17</v>
      </c>
      <c r="G117" s="9">
        <v>12357</v>
      </c>
      <c r="H117" s="9">
        <v>716</v>
      </c>
      <c r="I117" s="9">
        <v>599</v>
      </c>
      <c r="J117" s="9">
        <v>999</v>
      </c>
      <c r="K117" s="10">
        <v>89591</v>
      </c>
      <c r="L117" s="9">
        <v>116367</v>
      </c>
      <c r="M117" s="6" t="s">
        <v>18</v>
      </c>
      <c r="N117" s="11">
        <f t="shared" si="2"/>
        <v>0.11749035379446063</v>
      </c>
    </row>
    <row r="118" spans="1:14" ht="15" thickBot="1" x14ac:dyDescent="0.35">
      <c r="A118" s="6" t="s">
        <v>248</v>
      </c>
      <c r="B118" s="7" t="s">
        <v>25</v>
      </c>
      <c r="C118" s="8">
        <v>45922</v>
      </c>
      <c r="D118" s="7" t="s">
        <v>39</v>
      </c>
      <c r="E118" s="7" t="s">
        <v>37</v>
      </c>
      <c r="F118" s="7"/>
      <c r="G118" s="9">
        <v>18509</v>
      </c>
      <c r="H118" s="9">
        <v>361</v>
      </c>
      <c r="I118" s="9">
        <v>578</v>
      </c>
      <c r="J118" s="9">
        <v>1409</v>
      </c>
      <c r="K118" s="10">
        <v>10569</v>
      </c>
      <c r="L118" s="9">
        <v>166969</v>
      </c>
      <c r="M118" s="6" t="s">
        <v>23</v>
      </c>
      <c r="N118" s="11">
        <f t="shared" si="2"/>
        <v>0.11647671124580011</v>
      </c>
    </row>
    <row r="119" spans="1:14" ht="15" thickBot="1" x14ac:dyDescent="0.35">
      <c r="A119" s="6" t="s">
        <v>294</v>
      </c>
      <c r="B119" s="7" t="s">
        <v>14</v>
      </c>
      <c r="C119" s="8">
        <v>45465</v>
      </c>
      <c r="D119" s="7" t="s">
        <v>26</v>
      </c>
      <c r="E119" s="7" t="s">
        <v>43</v>
      </c>
      <c r="F119" s="7" t="s">
        <v>44</v>
      </c>
      <c r="G119" s="9">
        <v>7342</v>
      </c>
      <c r="H119" s="9">
        <v>906</v>
      </c>
      <c r="I119" s="9">
        <v>902</v>
      </c>
      <c r="J119" s="9">
        <v>1199</v>
      </c>
      <c r="K119" s="10">
        <v>68488</v>
      </c>
      <c r="L119" s="9">
        <v>79310</v>
      </c>
      <c r="M119" s="6" t="s">
        <v>18</v>
      </c>
      <c r="N119" s="11">
        <f t="shared" si="2"/>
        <v>0.1153700668263775</v>
      </c>
    </row>
    <row r="120" spans="1:14" ht="15" thickBot="1" x14ac:dyDescent="0.35">
      <c r="A120" s="6" t="s">
        <v>139</v>
      </c>
      <c r="B120" s="7" t="s">
        <v>47</v>
      </c>
      <c r="C120" s="8">
        <v>45604</v>
      </c>
      <c r="D120" s="7" t="s">
        <v>26</v>
      </c>
      <c r="E120" s="7" t="s">
        <v>32</v>
      </c>
      <c r="F120" s="7" t="s">
        <v>33</v>
      </c>
      <c r="G120" s="9">
        <v>23499</v>
      </c>
      <c r="H120" s="9">
        <v>562</v>
      </c>
      <c r="I120" s="9">
        <v>964</v>
      </c>
      <c r="J120" s="9">
        <v>2557</v>
      </c>
      <c r="K120" s="10">
        <v>56890</v>
      </c>
      <c r="L120" s="9">
        <v>218686</v>
      </c>
      <c r="M120" s="6" t="s">
        <v>34</v>
      </c>
      <c r="N120" s="11">
        <f t="shared" si="2"/>
        <v>0.11443347996671026</v>
      </c>
    </row>
    <row r="121" spans="1:14" ht="15" thickBot="1" x14ac:dyDescent="0.35">
      <c r="A121" s="6" t="s">
        <v>187</v>
      </c>
      <c r="B121" s="7" t="s">
        <v>20</v>
      </c>
      <c r="C121" s="8">
        <v>45567</v>
      </c>
      <c r="D121" s="7" t="s">
        <v>15</v>
      </c>
      <c r="E121" s="7" t="s">
        <v>27</v>
      </c>
      <c r="F121" s="7" t="s">
        <v>28</v>
      </c>
      <c r="G121" s="9">
        <v>15716</v>
      </c>
      <c r="H121" s="9">
        <v>839</v>
      </c>
      <c r="I121" s="9">
        <v>639</v>
      </c>
      <c r="J121" s="9">
        <v>2839</v>
      </c>
      <c r="K121" s="10">
        <v>349</v>
      </c>
      <c r="L121" s="9">
        <v>150677</v>
      </c>
      <c r="M121" s="6" t="s">
        <v>29</v>
      </c>
      <c r="N121" s="11">
        <f t="shared" si="2"/>
        <v>0.11411164278556117</v>
      </c>
    </row>
    <row r="122" spans="1:14" ht="15" thickBot="1" x14ac:dyDescent="0.35">
      <c r="A122" s="6" t="s">
        <v>142</v>
      </c>
      <c r="B122" s="7" t="s">
        <v>20</v>
      </c>
      <c r="C122" s="8">
        <v>45453</v>
      </c>
      <c r="D122" s="7" t="s">
        <v>31</v>
      </c>
      <c r="E122" s="7" t="s">
        <v>40</v>
      </c>
      <c r="F122" s="7" t="s">
        <v>41</v>
      </c>
      <c r="G122" s="9">
        <v>21561</v>
      </c>
      <c r="H122" s="9">
        <v>340</v>
      </c>
      <c r="I122" s="9">
        <v>741</v>
      </c>
      <c r="J122" s="9">
        <v>986</v>
      </c>
      <c r="K122" s="10">
        <v>24826</v>
      </c>
      <c r="L122" s="9">
        <v>198492</v>
      </c>
      <c r="M122" s="6" t="s">
        <v>18</v>
      </c>
      <c r="N122" s="11">
        <f t="shared" si="2"/>
        <v>0.11407008846704149</v>
      </c>
    </row>
    <row r="123" spans="1:14" ht="15" thickBot="1" x14ac:dyDescent="0.35">
      <c r="A123" s="6" t="s">
        <v>205</v>
      </c>
      <c r="B123" s="7" t="s">
        <v>14</v>
      </c>
      <c r="C123" s="8">
        <v>45936</v>
      </c>
      <c r="D123" s="7" t="s">
        <v>31</v>
      </c>
      <c r="E123" s="7" t="s">
        <v>27</v>
      </c>
      <c r="F123" s="7" t="s">
        <v>28</v>
      </c>
      <c r="G123" s="9">
        <v>22028</v>
      </c>
      <c r="H123" s="9">
        <v>355</v>
      </c>
      <c r="I123" s="9">
        <v>665</v>
      </c>
      <c r="J123" s="9">
        <v>1859</v>
      </c>
      <c r="K123" s="10">
        <v>50565</v>
      </c>
      <c r="L123" s="9">
        <v>202962</v>
      </c>
      <c r="M123" s="6" t="s">
        <v>23</v>
      </c>
      <c r="N123" s="11">
        <f t="shared" si="2"/>
        <v>0.11355820301337197</v>
      </c>
    </row>
    <row r="124" spans="1:14" ht="15" thickBot="1" x14ac:dyDescent="0.35">
      <c r="A124" s="6" t="s">
        <v>68</v>
      </c>
      <c r="B124" s="7" t="s">
        <v>47</v>
      </c>
      <c r="C124" s="8">
        <v>45552</v>
      </c>
      <c r="D124" s="7" t="s">
        <v>26</v>
      </c>
      <c r="E124" s="7" t="s">
        <v>48</v>
      </c>
      <c r="F124" s="7" t="s">
        <v>32</v>
      </c>
      <c r="G124" s="9">
        <v>20017</v>
      </c>
      <c r="H124" s="9">
        <v>495</v>
      </c>
      <c r="I124" s="9">
        <v>178</v>
      </c>
      <c r="J124" s="9">
        <v>2683</v>
      </c>
      <c r="K124" s="10">
        <v>32244</v>
      </c>
      <c r="L124" s="9">
        <v>182633</v>
      </c>
      <c r="M124" s="6" t="s">
        <v>18</v>
      </c>
      <c r="N124" s="11">
        <f t="shared" si="2"/>
        <v>0.11328730295182141</v>
      </c>
    </row>
    <row r="125" spans="1:14" ht="15" thickBot="1" x14ac:dyDescent="0.35">
      <c r="A125" s="6" t="s">
        <v>172</v>
      </c>
      <c r="B125" s="7" t="s">
        <v>25</v>
      </c>
      <c r="C125" s="8">
        <v>45667</v>
      </c>
      <c r="D125" s="7" t="s">
        <v>39</v>
      </c>
      <c r="E125" s="7" t="s">
        <v>62</v>
      </c>
      <c r="F125" s="7" t="s">
        <v>37</v>
      </c>
      <c r="G125" s="9">
        <v>14647</v>
      </c>
      <c r="H125" s="9">
        <v>1168</v>
      </c>
      <c r="I125" s="9">
        <v>484</v>
      </c>
      <c r="J125" s="9">
        <v>2650</v>
      </c>
      <c r="K125" s="10">
        <v>27217</v>
      </c>
      <c r="L125" s="9">
        <v>144061</v>
      </c>
      <c r="M125" s="6" t="s">
        <v>34</v>
      </c>
      <c r="N125" s="11">
        <f t="shared" si="2"/>
        <v>0.11313957281984714</v>
      </c>
    </row>
    <row r="126" spans="1:14" ht="15" thickBot="1" x14ac:dyDescent="0.35">
      <c r="A126" s="6" t="s">
        <v>203</v>
      </c>
      <c r="B126" s="7" t="s">
        <v>25</v>
      </c>
      <c r="C126" s="8">
        <v>45935</v>
      </c>
      <c r="D126" s="7" t="s">
        <v>26</v>
      </c>
      <c r="E126" s="7" t="s">
        <v>40</v>
      </c>
      <c r="F126" s="7" t="s">
        <v>41</v>
      </c>
      <c r="G126" s="9">
        <v>21262</v>
      </c>
      <c r="H126" s="9">
        <v>861</v>
      </c>
      <c r="I126" s="9">
        <v>676</v>
      </c>
      <c r="J126" s="9">
        <v>2263</v>
      </c>
      <c r="K126" s="10">
        <v>12085</v>
      </c>
      <c r="L126" s="9">
        <v>201731</v>
      </c>
      <c r="M126" s="6" t="s">
        <v>23</v>
      </c>
      <c r="N126" s="11">
        <f t="shared" si="2"/>
        <v>0.11301683925623726</v>
      </c>
    </row>
    <row r="127" spans="1:14" ht="15" thickBot="1" x14ac:dyDescent="0.35">
      <c r="A127" s="6" t="s">
        <v>239</v>
      </c>
      <c r="B127" s="7" t="s">
        <v>14</v>
      </c>
      <c r="C127" s="8">
        <v>45519</v>
      </c>
      <c r="D127" s="7" t="s">
        <v>15</v>
      </c>
      <c r="E127" s="7" t="s">
        <v>48</v>
      </c>
      <c r="F127" s="7" t="s">
        <v>32</v>
      </c>
      <c r="G127" s="9">
        <v>15503</v>
      </c>
      <c r="H127" s="9">
        <v>313</v>
      </c>
      <c r="I127" s="9">
        <v>388</v>
      </c>
      <c r="J127" s="9">
        <v>1078</v>
      </c>
      <c r="K127" s="10">
        <v>11500</v>
      </c>
      <c r="L127" s="9">
        <v>143754</v>
      </c>
      <c r="M127" s="6" t="s">
        <v>34</v>
      </c>
      <c r="N127" s="11">
        <f t="shared" si="2"/>
        <v>0.1127203416948398</v>
      </c>
    </row>
    <row r="128" spans="1:14" ht="15" thickBot="1" x14ac:dyDescent="0.35">
      <c r="A128" s="6" t="s">
        <v>113</v>
      </c>
      <c r="B128" s="7" t="s">
        <v>47</v>
      </c>
      <c r="C128" s="8">
        <v>45537</v>
      </c>
      <c r="D128" s="7" t="s">
        <v>39</v>
      </c>
      <c r="E128" s="7" t="s">
        <v>32</v>
      </c>
      <c r="F128" s="7" t="s">
        <v>33</v>
      </c>
      <c r="G128" s="9">
        <v>12040</v>
      </c>
      <c r="H128" s="9">
        <v>1147</v>
      </c>
      <c r="I128" s="9">
        <v>210</v>
      </c>
      <c r="J128" s="9">
        <v>885</v>
      </c>
      <c r="K128" s="10">
        <v>30360</v>
      </c>
      <c r="L128" s="9">
        <v>119530</v>
      </c>
      <c r="M128" s="6" t="s">
        <v>34</v>
      </c>
      <c r="N128" s="11">
        <f t="shared" si="2"/>
        <v>0.1120806492094035</v>
      </c>
    </row>
    <row r="129" spans="1:14" ht="15" thickBot="1" x14ac:dyDescent="0.35">
      <c r="A129" s="6" t="s">
        <v>136</v>
      </c>
      <c r="B129" s="7" t="s">
        <v>20</v>
      </c>
      <c r="C129" s="8">
        <v>45586</v>
      </c>
      <c r="D129" s="7" t="s">
        <v>26</v>
      </c>
      <c r="E129" s="7" t="s">
        <v>21</v>
      </c>
      <c r="F129" s="7" t="s">
        <v>22</v>
      </c>
      <c r="G129" s="9">
        <v>19715</v>
      </c>
      <c r="H129" s="9">
        <v>1014</v>
      </c>
      <c r="I129" s="9">
        <v>718</v>
      </c>
      <c r="J129" s="9">
        <v>1185</v>
      </c>
      <c r="K129" s="10">
        <v>37625</v>
      </c>
      <c r="L129" s="9">
        <v>191409</v>
      </c>
      <c r="M129" s="6" t="s">
        <v>18</v>
      </c>
      <c r="N129" s="11">
        <f t="shared" si="2"/>
        <v>0.11204802282024356</v>
      </c>
    </row>
    <row r="130" spans="1:14" ht="15" thickBot="1" x14ac:dyDescent="0.35">
      <c r="A130" s="6" t="s">
        <v>269</v>
      </c>
      <c r="B130" s="7" t="s">
        <v>47</v>
      </c>
      <c r="C130" s="8">
        <v>45463</v>
      </c>
      <c r="D130" s="7" t="s">
        <v>31</v>
      </c>
      <c r="E130" s="7" t="s">
        <v>43</v>
      </c>
      <c r="F130" s="7" t="s">
        <v>44</v>
      </c>
      <c r="G130" s="9">
        <v>21123</v>
      </c>
      <c r="H130" s="9">
        <v>1343</v>
      </c>
      <c r="I130" s="9">
        <v>589</v>
      </c>
      <c r="J130" s="9">
        <v>727</v>
      </c>
      <c r="K130" s="10">
        <v>87833</v>
      </c>
      <c r="L130" s="9">
        <v>206703</v>
      </c>
      <c r="M130" s="6" t="s">
        <v>18</v>
      </c>
      <c r="N130" s="11">
        <f t="shared" ref="N130:N193" si="3">(G130+H130+I130)/L130</f>
        <v>0.11153684271636116</v>
      </c>
    </row>
    <row r="131" spans="1:14" ht="15" thickBot="1" x14ac:dyDescent="0.35">
      <c r="A131" s="6" t="s">
        <v>59</v>
      </c>
      <c r="B131" s="7" t="s">
        <v>20</v>
      </c>
      <c r="C131" s="8">
        <v>45466</v>
      </c>
      <c r="D131" s="7" t="s">
        <v>26</v>
      </c>
      <c r="E131" s="7" t="s">
        <v>32</v>
      </c>
      <c r="F131" s="7" t="s">
        <v>57</v>
      </c>
      <c r="G131" s="9">
        <v>16512</v>
      </c>
      <c r="H131" s="9">
        <v>1050</v>
      </c>
      <c r="I131" s="9">
        <v>971</v>
      </c>
      <c r="J131" s="9">
        <v>1891</v>
      </c>
      <c r="K131" s="10">
        <v>15865</v>
      </c>
      <c r="L131" s="9">
        <v>166503</v>
      </c>
      <c r="M131" s="6" t="s">
        <v>34</v>
      </c>
      <c r="N131" s="11">
        <f t="shared" si="3"/>
        <v>0.1113073037723044</v>
      </c>
    </row>
    <row r="132" spans="1:14" ht="15" thickBot="1" x14ac:dyDescent="0.35">
      <c r="A132" s="6" t="s">
        <v>24</v>
      </c>
      <c r="B132" s="7" t="s">
        <v>25</v>
      </c>
      <c r="C132" s="8">
        <v>45789</v>
      </c>
      <c r="D132" s="7" t="s">
        <v>26</v>
      </c>
      <c r="E132" s="7" t="s">
        <v>27</v>
      </c>
      <c r="F132" s="7" t="s">
        <v>28</v>
      </c>
      <c r="G132" s="9">
        <v>19308</v>
      </c>
      <c r="H132" s="9">
        <v>1318</v>
      </c>
      <c r="I132" s="9">
        <v>795</v>
      </c>
      <c r="J132" s="9">
        <v>1499</v>
      </c>
      <c r="K132" s="10">
        <v>52307</v>
      </c>
      <c r="L132" s="9">
        <v>193087</v>
      </c>
      <c r="M132" s="6" t="s">
        <v>29</v>
      </c>
      <c r="N132" s="11">
        <f t="shared" si="3"/>
        <v>0.11093962825047776</v>
      </c>
    </row>
    <row r="133" spans="1:14" ht="15" thickBot="1" x14ac:dyDescent="0.35">
      <c r="A133" s="6" t="s">
        <v>190</v>
      </c>
      <c r="B133" s="7" t="s">
        <v>14</v>
      </c>
      <c r="C133" s="8">
        <v>45448</v>
      </c>
      <c r="D133" s="7" t="s">
        <v>26</v>
      </c>
      <c r="E133" s="7" t="s">
        <v>62</v>
      </c>
      <c r="F133" s="7" t="s">
        <v>37</v>
      </c>
      <c r="G133" s="9">
        <v>18907</v>
      </c>
      <c r="H133" s="9">
        <v>1075</v>
      </c>
      <c r="I133" s="9">
        <v>675</v>
      </c>
      <c r="J133" s="9">
        <v>1383</v>
      </c>
      <c r="K133" s="10">
        <v>17875</v>
      </c>
      <c r="L133" s="9">
        <v>186649</v>
      </c>
      <c r="M133" s="6" t="s">
        <v>18</v>
      </c>
      <c r="N133" s="11">
        <f t="shared" si="3"/>
        <v>0.11067297440650634</v>
      </c>
    </row>
    <row r="134" spans="1:14" ht="15" thickBot="1" x14ac:dyDescent="0.35">
      <c r="A134" s="6" t="s">
        <v>328</v>
      </c>
      <c r="B134" s="7" t="s">
        <v>14</v>
      </c>
      <c r="C134" s="8">
        <v>45552</v>
      </c>
      <c r="D134" s="7" t="s">
        <v>31</v>
      </c>
      <c r="E134" s="7" t="s">
        <v>40</v>
      </c>
      <c r="F134" s="7" t="s">
        <v>41</v>
      </c>
      <c r="G134" s="9">
        <v>20410</v>
      </c>
      <c r="H134" s="9">
        <v>1332</v>
      </c>
      <c r="I134" s="9">
        <v>472</v>
      </c>
      <c r="J134" s="9">
        <v>1202</v>
      </c>
      <c r="K134" s="10">
        <v>9418</v>
      </c>
      <c r="L134" s="9">
        <v>200806</v>
      </c>
      <c r="M134" s="6" t="s">
        <v>18</v>
      </c>
      <c r="N134" s="11">
        <f t="shared" si="3"/>
        <v>0.11062418453631864</v>
      </c>
    </row>
    <row r="135" spans="1:14" ht="15" thickBot="1" x14ac:dyDescent="0.35">
      <c r="A135" s="6" t="s">
        <v>279</v>
      </c>
      <c r="B135" s="7" t="s">
        <v>20</v>
      </c>
      <c r="C135" s="8">
        <v>45648</v>
      </c>
      <c r="D135" s="7" t="s">
        <v>26</v>
      </c>
      <c r="E135" s="7" t="s">
        <v>32</v>
      </c>
      <c r="F135" s="7" t="s">
        <v>33</v>
      </c>
      <c r="G135" s="9">
        <v>20117</v>
      </c>
      <c r="H135" s="9">
        <v>1143</v>
      </c>
      <c r="I135" s="9">
        <v>713</v>
      </c>
      <c r="J135" s="9">
        <v>1739</v>
      </c>
      <c r="K135" s="10">
        <v>34444</v>
      </c>
      <c r="L135" s="9">
        <v>198670</v>
      </c>
      <c r="M135" s="6" t="s">
        <v>52</v>
      </c>
      <c r="N135" s="11">
        <f t="shared" si="3"/>
        <v>0.11060049328031409</v>
      </c>
    </row>
    <row r="136" spans="1:14" ht="15" thickBot="1" x14ac:dyDescent="0.35">
      <c r="A136" s="6" t="s">
        <v>326</v>
      </c>
      <c r="B136" s="7" t="s">
        <v>20</v>
      </c>
      <c r="C136" s="8">
        <v>45568</v>
      </c>
      <c r="D136" s="7" t="s">
        <v>15</v>
      </c>
      <c r="E136" s="7" t="s">
        <v>32</v>
      </c>
      <c r="F136" s="7" t="s">
        <v>33</v>
      </c>
      <c r="G136" s="9">
        <v>22618</v>
      </c>
      <c r="H136" s="9">
        <v>641</v>
      </c>
      <c r="I136" s="9">
        <v>416</v>
      </c>
      <c r="J136" s="9">
        <v>1530</v>
      </c>
      <c r="K136" s="10">
        <v>18395</v>
      </c>
      <c r="L136" s="9">
        <v>215211</v>
      </c>
      <c r="M136" s="6" t="s">
        <v>52</v>
      </c>
      <c r="N136" s="11">
        <f t="shared" si="3"/>
        <v>0.1100083174187193</v>
      </c>
    </row>
    <row r="137" spans="1:14" ht="15" thickBot="1" x14ac:dyDescent="0.35">
      <c r="A137" s="6" t="s">
        <v>302</v>
      </c>
      <c r="B137" s="7" t="s">
        <v>47</v>
      </c>
      <c r="C137" s="8">
        <v>45509</v>
      </c>
      <c r="D137" s="7" t="s">
        <v>31</v>
      </c>
      <c r="E137" s="7" t="s">
        <v>16</v>
      </c>
      <c r="F137" s="7" t="s">
        <v>17</v>
      </c>
      <c r="G137" s="9">
        <v>20935</v>
      </c>
      <c r="H137" s="9">
        <v>1104</v>
      </c>
      <c r="I137" s="9">
        <v>876</v>
      </c>
      <c r="J137" s="9">
        <v>1270</v>
      </c>
      <c r="K137" s="10">
        <v>21454</v>
      </c>
      <c r="L137" s="9">
        <v>208722</v>
      </c>
      <c r="M137" s="6" t="s">
        <v>29</v>
      </c>
      <c r="N137" s="11">
        <f t="shared" si="3"/>
        <v>0.10978718103506099</v>
      </c>
    </row>
    <row r="138" spans="1:14" ht="15" thickBot="1" x14ac:dyDescent="0.35">
      <c r="A138" s="6" t="s">
        <v>197</v>
      </c>
      <c r="B138" s="7" t="s">
        <v>25</v>
      </c>
      <c r="C138" s="8">
        <v>45658</v>
      </c>
      <c r="D138" s="7" t="s">
        <v>31</v>
      </c>
      <c r="E138" s="7" t="s">
        <v>21</v>
      </c>
      <c r="F138" s="7" t="s">
        <v>22</v>
      </c>
      <c r="G138" s="9">
        <v>24574</v>
      </c>
      <c r="H138" s="9">
        <v>909</v>
      </c>
      <c r="I138" s="9">
        <v>280</v>
      </c>
      <c r="J138" s="9">
        <v>2009</v>
      </c>
      <c r="K138" s="10">
        <v>6221</v>
      </c>
      <c r="L138" s="9">
        <v>236910</v>
      </c>
      <c r="M138" s="6" t="s">
        <v>52</v>
      </c>
      <c r="N138" s="11">
        <f t="shared" si="3"/>
        <v>0.10874593727575872</v>
      </c>
    </row>
    <row r="139" spans="1:14" ht="15" thickBot="1" x14ac:dyDescent="0.35">
      <c r="A139" s="6" t="s">
        <v>75</v>
      </c>
      <c r="B139" s="7" t="s">
        <v>20</v>
      </c>
      <c r="C139" s="8">
        <v>45911</v>
      </c>
      <c r="D139" s="7" t="s">
        <v>39</v>
      </c>
      <c r="E139" s="7" t="s">
        <v>48</v>
      </c>
      <c r="F139" s="7" t="s">
        <v>32</v>
      </c>
      <c r="G139" s="9">
        <v>10175</v>
      </c>
      <c r="H139" s="9">
        <v>342</v>
      </c>
      <c r="I139" s="9">
        <v>825</v>
      </c>
      <c r="J139" s="9">
        <v>2904</v>
      </c>
      <c r="K139" s="10">
        <v>15954</v>
      </c>
      <c r="L139" s="9">
        <v>104324</v>
      </c>
      <c r="M139" s="6" t="s">
        <v>23</v>
      </c>
      <c r="N139" s="11">
        <f t="shared" si="3"/>
        <v>0.10871899083624094</v>
      </c>
    </row>
    <row r="140" spans="1:14" ht="15" thickBot="1" x14ac:dyDescent="0.35">
      <c r="A140" s="6" t="s">
        <v>227</v>
      </c>
      <c r="B140" s="7" t="s">
        <v>47</v>
      </c>
      <c r="C140" s="8">
        <v>45643</v>
      </c>
      <c r="D140" s="7" t="s">
        <v>15</v>
      </c>
      <c r="E140" s="7" t="s">
        <v>43</v>
      </c>
      <c r="F140" s="7" t="s">
        <v>44</v>
      </c>
      <c r="G140" s="9">
        <v>20030</v>
      </c>
      <c r="H140" s="9">
        <v>485</v>
      </c>
      <c r="I140" s="9">
        <v>888</v>
      </c>
      <c r="J140" s="9">
        <v>1643</v>
      </c>
      <c r="K140" s="10">
        <v>4322</v>
      </c>
      <c r="L140" s="9">
        <v>196995</v>
      </c>
      <c r="M140" s="6" t="s">
        <v>29</v>
      </c>
      <c r="N140" s="11">
        <f t="shared" si="3"/>
        <v>0.10864742759968526</v>
      </c>
    </row>
    <row r="141" spans="1:14" ht="15" thickBot="1" x14ac:dyDescent="0.35">
      <c r="A141" s="6" t="s">
        <v>94</v>
      </c>
      <c r="B141" s="7" t="s">
        <v>47</v>
      </c>
      <c r="C141" s="8">
        <v>45919</v>
      </c>
      <c r="D141" s="7" t="s">
        <v>15</v>
      </c>
      <c r="E141" s="7" t="s">
        <v>43</v>
      </c>
      <c r="F141" s="7" t="s">
        <v>44</v>
      </c>
      <c r="G141" s="9">
        <v>19100</v>
      </c>
      <c r="H141" s="9">
        <v>619</v>
      </c>
      <c r="I141" s="9">
        <v>297</v>
      </c>
      <c r="J141" s="9">
        <v>2312</v>
      </c>
      <c r="K141" s="10">
        <v>9730</v>
      </c>
      <c r="L141" s="9">
        <v>184832</v>
      </c>
      <c r="M141" s="6" t="s">
        <v>23</v>
      </c>
      <c r="N141" s="11">
        <f t="shared" si="3"/>
        <v>0.10829293628808864</v>
      </c>
    </row>
    <row r="142" spans="1:14" ht="15" thickBot="1" x14ac:dyDescent="0.35">
      <c r="A142" s="6" t="s">
        <v>243</v>
      </c>
      <c r="B142" s="7" t="s">
        <v>25</v>
      </c>
      <c r="C142" s="8">
        <v>45920</v>
      </c>
      <c r="D142" s="7" t="s">
        <v>15</v>
      </c>
      <c r="E142" s="7" t="s">
        <v>43</v>
      </c>
      <c r="F142" s="7" t="s">
        <v>44</v>
      </c>
      <c r="G142" s="9">
        <v>12267</v>
      </c>
      <c r="H142" s="9">
        <v>1487</v>
      </c>
      <c r="I142" s="9">
        <v>489</v>
      </c>
      <c r="J142" s="9">
        <v>2748</v>
      </c>
      <c r="K142" s="10">
        <v>34685</v>
      </c>
      <c r="L142" s="9">
        <v>131736</v>
      </c>
      <c r="M142" s="6" t="s">
        <v>23</v>
      </c>
      <c r="N142" s="11">
        <f t="shared" si="3"/>
        <v>0.1081177506528208</v>
      </c>
    </row>
    <row r="143" spans="1:14" ht="15" thickBot="1" x14ac:dyDescent="0.35">
      <c r="A143" s="6" t="s">
        <v>306</v>
      </c>
      <c r="B143" s="7" t="s">
        <v>47</v>
      </c>
      <c r="C143" s="8">
        <v>45675</v>
      </c>
      <c r="D143" s="7" t="s">
        <v>26</v>
      </c>
      <c r="E143" s="7" t="s">
        <v>62</v>
      </c>
      <c r="F143" s="7" t="s">
        <v>37</v>
      </c>
      <c r="G143" s="9">
        <v>22673</v>
      </c>
      <c r="H143" s="9">
        <v>1053</v>
      </c>
      <c r="I143" s="9">
        <v>169</v>
      </c>
      <c r="J143" s="9">
        <v>1566</v>
      </c>
      <c r="K143" s="10">
        <v>9417</v>
      </c>
      <c r="L143" s="9">
        <v>221187</v>
      </c>
      <c r="M143" s="6" t="s">
        <v>34</v>
      </c>
      <c r="N143" s="11">
        <f t="shared" si="3"/>
        <v>0.10803076130152314</v>
      </c>
    </row>
    <row r="144" spans="1:14" ht="15" thickBot="1" x14ac:dyDescent="0.35">
      <c r="A144" s="6" t="s">
        <v>312</v>
      </c>
      <c r="B144" s="7" t="s">
        <v>20</v>
      </c>
      <c r="C144" s="8">
        <v>45760</v>
      </c>
      <c r="D144" s="7" t="s">
        <v>39</v>
      </c>
      <c r="E144" s="7" t="s">
        <v>71</v>
      </c>
      <c r="F144" s="7"/>
      <c r="G144" s="9">
        <v>24700</v>
      </c>
      <c r="H144" s="9">
        <v>327</v>
      </c>
      <c r="I144" s="9">
        <v>999</v>
      </c>
      <c r="J144" s="9">
        <v>994</v>
      </c>
      <c r="K144" s="10">
        <v>59400</v>
      </c>
      <c r="L144" s="9">
        <v>243502</v>
      </c>
      <c r="M144" s="6" t="s">
        <v>29</v>
      </c>
      <c r="N144" s="11">
        <f t="shared" si="3"/>
        <v>0.10688207899729776</v>
      </c>
    </row>
    <row r="145" spans="1:14" ht="15" thickBot="1" x14ac:dyDescent="0.35">
      <c r="A145" s="6" t="s">
        <v>224</v>
      </c>
      <c r="B145" s="7" t="s">
        <v>14</v>
      </c>
      <c r="C145" s="8">
        <v>45941</v>
      </c>
      <c r="D145" s="7" t="s">
        <v>39</v>
      </c>
      <c r="E145" s="7" t="s">
        <v>43</v>
      </c>
      <c r="F145" s="7" t="s">
        <v>44</v>
      </c>
      <c r="G145" s="9">
        <v>15623</v>
      </c>
      <c r="H145" s="9">
        <v>869</v>
      </c>
      <c r="I145" s="9">
        <v>423</v>
      </c>
      <c r="J145" s="9">
        <v>371</v>
      </c>
      <c r="K145" s="10">
        <v>47579</v>
      </c>
      <c r="L145" s="9">
        <v>158516</v>
      </c>
      <c r="M145" s="6" t="s">
        <v>23</v>
      </c>
      <c r="N145" s="11">
        <f t="shared" si="3"/>
        <v>0.10670847106916652</v>
      </c>
    </row>
    <row r="146" spans="1:14" ht="15" thickBot="1" x14ac:dyDescent="0.35">
      <c r="A146" s="6" t="s">
        <v>258</v>
      </c>
      <c r="B146" s="7" t="s">
        <v>14</v>
      </c>
      <c r="C146" s="8">
        <v>45649</v>
      </c>
      <c r="D146" s="7" t="s">
        <v>31</v>
      </c>
      <c r="E146" s="7" t="s">
        <v>27</v>
      </c>
      <c r="F146" s="7" t="s">
        <v>28</v>
      </c>
      <c r="G146" s="9">
        <v>18616</v>
      </c>
      <c r="H146" s="9">
        <v>1277</v>
      </c>
      <c r="I146" s="9">
        <v>734</v>
      </c>
      <c r="J146" s="9">
        <v>2249</v>
      </c>
      <c r="K146" s="10">
        <v>3399</v>
      </c>
      <c r="L146" s="9">
        <v>193515</v>
      </c>
      <c r="M146" s="6" t="s">
        <v>34</v>
      </c>
      <c r="N146" s="11">
        <f t="shared" si="3"/>
        <v>0.10659122031883833</v>
      </c>
    </row>
    <row r="147" spans="1:14" ht="15" thickBot="1" x14ac:dyDescent="0.35">
      <c r="A147" s="6" t="s">
        <v>316</v>
      </c>
      <c r="B147" s="7" t="s">
        <v>20</v>
      </c>
      <c r="C147" s="8">
        <v>45743</v>
      </c>
      <c r="D147" s="7" t="s">
        <v>26</v>
      </c>
      <c r="E147" s="7" t="s">
        <v>62</v>
      </c>
      <c r="F147" s="7" t="s">
        <v>37</v>
      </c>
      <c r="G147" s="9">
        <v>14819</v>
      </c>
      <c r="H147" s="9">
        <v>1432</v>
      </c>
      <c r="I147" s="9">
        <v>152</v>
      </c>
      <c r="J147" s="9">
        <v>961</v>
      </c>
      <c r="K147" s="10">
        <v>39154</v>
      </c>
      <c r="L147" s="9">
        <v>154793</v>
      </c>
      <c r="M147" s="6" t="s">
        <v>34</v>
      </c>
      <c r="N147" s="11">
        <f t="shared" si="3"/>
        <v>0.10596732410380315</v>
      </c>
    </row>
    <row r="148" spans="1:14" ht="15" thickBot="1" x14ac:dyDescent="0.35">
      <c r="A148" s="6" t="s">
        <v>242</v>
      </c>
      <c r="B148" s="7" t="s">
        <v>20</v>
      </c>
      <c r="C148" s="8">
        <v>45919</v>
      </c>
      <c r="D148" s="7" t="s">
        <v>39</v>
      </c>
      <c r="E148" s="7" t="s">
        <v>32</v>
      </c>
      <c r="F148" s="7" t="s">
        <v>33</v>
      </c>
      <c r="G148" s="9">
        <v>14772</v>
      </c>
      <c r="H148" s="9">
        <v>1030</v>
      </c>
      <c r="I148" s="9">
        <v>508</v>
      </c>
      <c r="J148" s="9">
        <v>1876</v>
      </c>
      <c r="K148" s="10">
        <v>8882</v>
      </c>
      <c r="L148" s="9">
        <v>155142</v>
      </c>
      <c r="M148" s="6" t="s">
        <v>23</v>
      </c>
      <c r="N148" s="11">
        <f t="shared" si="3"/>
        <v>0.10512949426976577</v>
      </c>
    </row>
    <row r="149" spans="1:14" ht="15" thickBot="1" x14ac:dyDescent="0.35">
      <c r="A149" s="6" t="s">
        <v>340</v>
      </c>
      <c r="B149" s="7" t="s">
        <v>20</v>
      </c>
      <c r="C149" s="8">
        <v>45699</v>
      </c>
      <c r="D149" s="7" t="s">
        <v>39</v>
      </c>
      <c r="E149" s="7" t="s">
        <v>122</v>
      </c>
      <c r="F149" s="7" t="s">
        <v>123</v>
      </c>
      <c r="G149" s="9">
        <v>3619</v>
      </c>
      <c r="H149" s="9">
        <v>1376</v>
      </c>
      <c r="I149" s="9">
        <v>410</v>
      </c>
      <c r="J149" s="9">
        <v>2499</v>
      </c>
      <c r="K149" s="10">
        <v>58146</v>
      </c>
      <c r="L149" s="9">
        <v>52149</v>
      </c>
      <c r="M149" s="6" t="s">
        <v>18</v>
      </c>
      <c r="N149" s="11">
        <f t="shared" si="3"/>
        <v>0.10364532397553165</v>
      </c>
    </row>
    <row r="150" spans="1:14" ht="15" thickBot="1" x14ac:dyDescent="0.35">
      <c r="A150" s="6" t="s">
        <v>284</v>
      </c>
      <c r="B150" s="7" t="s">
        <v>20</v>
      </c>
      <c r="C150" s="8">
        <v>45911</v>
      </c>
      <c r="D150" s="7" t="s">
        <v>31</v>
      </c>
      <c r="E150" s="7" t="s">
        <v>40</v>
      </c>
      <c r="F150" s="7" t="s">
        <v>41</v>
      </c>
      <c r="G150" s="9">
        <v>21901</v>
      </c>
      <c r="H150" s="9">
        <v>1308</v>
      </c>
      <c r="I150" s="9">
        <v>724</v>
      </c>
      <c r="J150" s="9">
        <v>2183</v>
      </c>
      <c r="K150" s="10">
        <v>15996</v>
      </c>
      <c r="L150" s="9">
        <v>230961</v>
      </c>
      <c r="M150" s="6" t="s">
        <v>23</v>
      </c>
      <c r="N150" s="11">
        <f t="shared" si="3"/>
        <v>0.10362355549205277</v>
      </c>
    </row>
    <row r="151" spans="1:14" ht="15" thickBot="1" x14ac:dyDescent="0.35">
      <c r="A151" s="6" t="s">
        <v>287</v>
      </c>
      <c r="B151" s="7" t="s">
        <v>20</v>
      </c>
      <c r="C151" s="8">
        <v>45722</v>
      </c>
      <c r="D151" s="7" t="s">
        <v>26</v>
      </c>
      <c r="E151" s="7" t="s">
        <v>48</v>
      </c>
      <c r="F151" s="7" t="s">
        <v>32</v>
      </c>
      <c r="G151" s="9">
        <v>22119</v>
      </c>
      <c r="H151" s="9">
        <v>899</v>
      </c>
      <c r="I151" s="9">
        <v>642</v>
      </c>
      <c r="J151" s="9">
        <v>410</v>
      </c>
      <c r="K151" s="10">
        <v>49490</v>
      </c>
      <c r="L151" s="9">
        <v>229420</v>
      </c>
      <c r="M151" s="6" t="s">
        <v>34</v>
      </c>
      <c r="N151" s="11">
        <f t="shared" si="3"/>
        <v>0.10312963124400662</v>
      </c>
    </row>
    <row r="152" spans="1:14" ht="15" thickBot="1" x14ac:dyDescent="0.35">
      <c r="A152" s="6" t="s">
        <v>334</v>
      </c>
      <c r="B152" s="7" t="s">
        <v>20</v>
      </c>
      <c r="C152" s="8">
        <v>45920</v>
      </c>
      <c r="D152" s="7" t="s">
        <v>15</v>
      </c>
      <c r="E152" s="7" t="s">
        <v>37</v>
      </c>
      <c r="F152" s="7"/>
      <c r="G152" s="9">
        <v>24422</v>
      </c>
      <c r="H152" s="9">
        <v>327</v>
      </c>
      <c r="I152" s="9">
        <v>481</v>
      </c>
      <c r="J152" s="9">
        <v>2371</v>
      </c>
      <c r="K152" s="10">
        <v>35340</v>
      </c>
      <c r="L152" s="9">
        <v>245244</v>
      </c>
      <c r="M152" s="6" t="s">
        <v>23</v>
      </c>
      <c r="N152" s="11">
        <f t="shared" si="3"/>
        <v>0.10287713460879777</v>
      </c>
    </row>
    <row r="153" spans="1:14" ht="15" thickBot="1" x14ac:dyDescent="0.35">
      <c r="A153" s="6" t="s">
        <v>281</v>
      </c>
      <c r="B153" s="7" t="s">
        <v>47</v>
      </c>
      <c r="C153" s="8">
        <v>45587</v>
      </c>
      <c r="D153" s="7" t="s">
        <v>39</v>
      </c>
      <c r="E153" s="7" t="s">
        <v>27</v>
      </c>
      <c r="F153" s="7" t="s">
        <v>28</v>
      </c>
      <c r="G153" s="9">
        <v>7622</v>
      </c>
      <c r="H153" s="9">
        <v>529</v>
      </c>
      <c r="I153" s="9">
        <v>720</v>
      </c>
      <c r="J153" s="9">
        <v>1015</v>
      </c>
      <c r="K153" s="10">
        <v>71322</v>
      </c>
      <c r="L153" s="9">
        <v>86819</v>
      </c>
      <c r="M153" s="6" t="s">
        <v>52</v>
      </c>
      <c r="N153" s="11">
        <f t="shared" si="3"/>
        <v>0.10217809465669957</v>
      </c>
    </row>
    <row r="154" spans="1:14" ht="15" thickBot="1" x14ac:dyDescent="0.35">
      <c r="A154" s="6" t="s">
        <v>210</v>
      </c>
      <c r="B154" s="7" t="s">
        <v>25</v>
      </c>
      <c r="C154" s="8">
        <v>45704</v>
      </c>
      <c r="D154" s="7" t="s">
        <v>26</v>
      </c>
      <c r="E154" s="7" t="s">
        <v>32</v>
      </c>
      <c r="F154" s="7" t="s">
        <v>57</v>
      </c>
      <c r="G154" s="9">
        <v>24195</v>
      </c>
      <c r="H154" s="9">
        <v>888</v>
      </c>
      <c r="I154" s="9">
        <v>165</v>
      </c>
      <c r="J154" s="9">
        <v>1559</v>
      </c>
      <c r="K154" s="10">
        <v>11596</v>
      </c>
      <c r="L154" s="9">
        <v>249988</v>
      </c>
      <c r="M154" s="6" t="s">
        <v>29</v>
      </c>
      <c r="N154" s="11">
        <f t="shared" si="3"/>
        <v>0.10099684784869674</v>
      </c>
    </row>
    <row r="155" spans="1:14" ht="15" thickBot="1" x14ac:dyDescent="0.35">
      <c r="A155" s="6" t="s">
        <v>166</v>
      </c>
      <c r="B155" s="7" t="s">
        <v>25</v>
      </c>
      <c r="C155" s="8">
        <v>45567</v>
      </c>
      <c r="D155" s="7" t="s">
        <v>31</v>
      </c>
      <c r="E155" s="7" t="s">
        <v>62</v>
      </c>
      <c r="F155" s="7" t="s">
        <v>37</v>
      </c>
      <c r="G155" s="9">
        <v>9350</v>
      </c>
      <c r="H155" s="9">
        <v>1024</v>
      </c>
      <c r="I155" s="9">
        <v>550</v>
      </c>
      <c r="J155" s="9">
        <v>2123</v>
      </c>
      <c r="K155" s="10">
        <v>53916</v>
      </c>
      <c r="L155" s="9">
        <v>108785</v>
      </c>
      <c r="M155" s="6" t="s">
        <v>29</v>
      </c>
      <c r="N155" s="11">
        <f t="shared" si="3"/>
        <v>0.10041825619340902</v>
      </c>
    </row>
    <row r="156" spans="1:14" ht="15" thickBot="1" x14ac:dyDescent="0.35">
      <c r="A156" s="6" t="s">
        <v>293</v>
      </c>
      <c r="B156" s="7" t="s">
        <v>25</v>
      </c>
      <c r="C156" s="8">
        <v>45491</v>
      </c>
      <c r="D156" s="7" t="s">
        <v>31</v>
      </c>
      <c r="E156" s="7" t="s">
        <v>71</v>
      </c>
      <c r="F156" s="7"/>
      <c r="G156" s="9">
        <v>11111</v>
      </c>
      <c r="H156" s="9">
        <v>1222</v>
      </c>
      <c r="I156" s="9">
        <v>367</v>
      </c>
      <c r="J156" s="9">
        <v>507</v>
      </c>
      <c r="K156" s="10">
        <v>14129</v>
      </c>
      <c r="L156" s="9">
        <v>127163</v>
      </c>
      <c r="M156" s="6" t="s">
        <v>52</v>
      </c>
      <c r="N156" s="11">
        <f t="shared" si="3"/>
        <v>9.9871818060284834E-2</v>
      </c>
    </row>
    <row r="157" spans="1:14" ht="15" thickBot="1" x14ac:dyDescent="0.35">
      <c r="A157" s="6" t="s">
        <v>209</v>
      </c>
      <c r="B157" s="7" t="s">
        <v>47</v>
      </c>
      <c r="C157" s="8">
        <v>45937</v>
      </c>
      <c r="D157" s="7" t="s">
        <v>39</v>
      </c>
      <c r="E157" s="7" t="s">
        <v>43</v>
      </c>
      <c r="F157" s="7" t="s">
        <v>44</v>
      </c>
      <c r="G157" s="9">
        <v>19660</v>
      </c>
      <c r="H157" s="9">
        <v>1307</v>
      </c>
      <c r="I157" s="9">
        <v>310</v>
      </c>
      <c r="J157" s="9">
        <v>2802</v>
      </c>
      <c r="K157" s="10">
        <v>22171</v>
      </c>
      <c r="L157" s="9">
        <v>213359</v>
      </c>
      <c r="M157" s="6" t="s">
        <v>23</v>
      </c>
      <c r="N157" s="11">
        <f t="shared" si="3"/>
        <v>9.9723939463533293E-2</v>
      </c>
    </row>
    <row r="158" spans="1:14" ht="15" thickBot="1" x14ac:dyDescent="0.35">
      <c r="A158" s="6" t="s">
        <v>46</v>
      </c>
      <c r="B158" s="7" t="s">
        <v>47</v>
      </c>
      <c r="C158" s="8">
        <v>45727</v>
      </c>
      <c r="D158" s="7" t="s">
        <v>31</v>
      </c>
      <c r="E158" s="7" t="s">
        <v>48</v>
      </c>
      <c r="F158" s="7" t="s">
        <v>32</v>
      </c>
      <c r="G158" s="9">
        <v>20222</v>
      </c>
      <c r="H158" s="9">
        <v>712</v>
      </c>
      <c r="I158" s="9">
        <v>604</v>
      </c>
      <c r="J158" s="9">
        <v>1272</v>
      </c>
      <c r="K158" s="10">
        <v>71598</v>
      </c>
      <c r="L158" s="9">
        <v>216422</v>
      </c>
      <c r="M158" s="6" t="s">
        <v>29</v>
      </c>
      <c r="N158" s="11">
        <f t="shared" si="3"/>
        <v>9.9518533235992648E-2</v>
      </c>
    </row>
    <row r="159" spans="1:14" ht="15" thickBot="1" x14ac:dyDescent="0.35">
      <c r="A159" s="6" t="s">
        <v>147</v>
      </c>
      <c r="B159" s="7" t="s">
        <v>47</v>
      </c>
      <c r="C159" s="8">
        <v>45927</v>
      </c>
      <c r="D159" s="7" t="s">
        <v>26</v>
      </c>
      <c r="E159" s="7" t="s">
        <v>21</v>
      </c>
      <c r="F159" s="7" t="s">
        <v>22</v>
      </c>
      <c r="G159" s="9">
        <v>18521</v>
      </c>
      <c r="H159" s="9">
        <v>1027</v>
      </c>
      <c r="I159" s="9">
        <v>230</v>
      </c>
      <c r="J159" s="9">
        <v>1247</v>
      </c>
      <c r="K159" s="10">
        <v>39588</v>
      </c>
      <c r="L159" s="9">
        <v>200928</v>
      </c>
      <c r="M159" s="6" t="s">
        <v>23</v>
      </c>
      <c r="N159" s="11">
        <f t="shared" si="3"/>
        <v>9.8433269628921807E-2</v>
      </c>
    </row>
    <row r="160" spans="1:14" ht="15" thickBot="1" x14ac:dyDescent="0.35">
      <c r="A160" s="6" t="s">
        <v>162</v>
      </c>
      <c r="B160" s="7" t="s">
        <v>47</v>
      </c>
      <c r="C160" s="8">
        <v>45600</v>
      </c>
      <c r="D160" s="7" t="s">
        <v>31</v>
      </c>
      <c r="E160" s="7" t="s">
        <v>37</v>
      </c>
      <c r="F160" s="7"/>
      <c r="G160" s="9">
        <v>14234</v>
      </c>
      <c r="H160" s="9">
        <v>1013</v>
      </c>
      <c r="I160" s="9">
        <v>437</v>
      </c>
      <c r="J160" s="9">
        <v>338</v>
      </c>
      <c r="K160" s="10">
        <v>67754</v>
      </c>
      <c r="L160" s="9">
        <v>160030</v>
      </c>
      <c r="M160" s="6" t="s">
        <v>29</v>
      </c>
      <c r="N160" s="11">
        <f t="shared" si="3"/>
        <v>9.8006623758045364E-2</v>
      </c>
    </row>
    <row r="161" spans="1:14" ht="15" thickBot="1" x14ac:dyDescent="0.35">
      <c r="A161" s="6" t="s">
        <v>297</v>
      </c>
      <c r="B161" s="7" t="s">
        <v>20</v>
      </c>
      <c r="C161" s="8">
        <v>45916</v>
      </c>
      <c r="D161" s="7" t="s">
        <v>15</v>
      </c>
      <c r="E161" s="7" t="s">
        <v>71</v>
      </c>
      <c r="F161" s="7"/>
      <c r="G161" s="9">
        <v>16043</v>
      </c>
      <c r="H161" s="9">
        <v>595</v>
      </c>
      <c r="I161" s="9">
        <v>923</v>
      </c>
      <c r="J161" s="9">
        <v>1194</v>
      </c>
      <c r="K161" s="10">
        <v>52613</v>
      </c>
      <c r="L161" s="9">
        <v>179978</v>
      </c>
      <c r="M161" s="6" t="s">
        <v>23</v>
      </c>
      <c r="N161" s="11">
        <f t="shared" si="3"/>
        <v>9.757303670448611E-2</v>
      </c>
    </row>
    <row r="162" spans="1:14" ht="15" thickBot="1" x14ac:dyDescent="0.35">
      <c r="A162" s="6" t="s">
        <v>158</v>
      </c>
      <c r="B162" s="7" t="s">
        <v>47</v>
      </c>
      <c r="C162" s="8">
        <v>45610</v>
      </c>
      <c r="D162" s="7" t="s">
        <v>15</v>
      </c>
      <c r="E162" s="7" t="s">
        <v>27</v>
      </c>
      <c r="F162" s="7" t="s">
        <v>28</v>
      </c>
      <c r="G162" s="9">
        <v>6300</v>
      </c>
      <c r="H162" s="9">
        <v>1213</v>
      </c>
      <c r="I162" s="9">
        <v>720</v>
      </c>
      <c r="J162" s="9">
        <v>1037</v>
      </c>
      <c r="K162" s="10">
        <v>39569</v>
      </c>
      <c r="L162" s="9">
        <v>85272</v>
      </c>
      <c r="M162" s="6" t="s">
        <v>34</v>
      </c>
      <c r="N162" s="11">
        <f t="shared" si="3"/>
        <v>9.6549863964724647E-2</v>
      </c>
    </row>
    <row r="163" spans="1:14" ht="15" thickBot="1" x14ac:dyDescent="0.35">
      <c r="A163" s="6" t="s">
        <v>252</v>
      </c>
      <c r="B163" s="7" t="s">
        <v>20</v>
      </c>
      <c r="C163" s="8">
        <v>45467</v>
      </c>
      <c r="D163" s="7" t="s">
        <v>26</v>
      </c>
      <c r="E163" s="7" t="s">
        <v>21</v>
      </c>
      <c r="F163" s="7" t="s">
        <v>22</v>
      </c>
      <c r="G163" s="9">
        <v>5596</v>
      </c>
      <c r="H163" s="9">
        <v>1231</v>
      </c>
      <c r="I163" s="9">
        <v>473</v>
      </c>
      <c r="J163" s="9">
        <v>2251</v>
      </c>
      <c r="K163" s="10">
        <v>43705</v>
      </c>
      <c r="L163" s="9">
        <v>75643</v>
      </c>
      <c r="M163" s="6" t="s">
        <v>18</v>
      </c>
      <c r="N163" s="11">
        <f t="shared" si="3"/>
        <v>9.6505955607260427E-2</v>
      </c>
    </row>
    <row r="164" spans="1:14" ht="15" thickBot="1" x14ac:dyDescent="0.35">
      <c r="A164" s="6" t="s">
        <v>307</v>
      </c>
      <c r="B164" s="7" t="s">
        <v>25</v>
      </c>
      <c r="C164" s="8">
        <v>45524</v>
      </c>
      <c r="D164" s="7" t="s">
        <v>26</v>
      </c>
      <c r="E164" s="7" t="s">
        <v>37</v>
      </c>
      <c r="F164" s="7"/>
      <c r="G164" s="9">
        <v>2846</v>
      </c>
      <c r="H164" s="9">
        <v>792</v>
      </c>
      <c r="I164" s="9">
        <v>902</v>
      </c>
      <c r="J164" s="9">
        <v>2469</v>
      </c>
      <c r="K164" s="10">
        <v>12130</v>
      </c>
      <c r="L164" s="9">
        <v>47151</v>
      </c>
      <c r="M164" s="6" t="s">
        <v>18</v>
      </c>
      <c r="N164" s="11">
        <f t="shared" si="3"/>
        <v>9.6286399015927546E-2</v>
      </c>
    </row>
    <row r="165" spans="1:14" ht="15" thickBot="1" x14ac:dyDescent="0.35">
      <c r="A165" s="6" t="s">
        <v>77</v>
      </c>
      <c r="B165" s="7" t="s">
        <v>47</v>
      </c>
      <c r="C165" s="8">
        <v>45626</v>
      </c>
      <c r="D165" s="7" t="s">
        <v>31</v>
      </c>
      <c r="E165" s="7" t="s">
        <v>32</v>
      </c>
      <c r="F165" s="7" t="s">
        <v>57</v>
      </c>
      <c r="G165" s="9">
        <v>14763</v>
      </c>
      <c r="H165" s="9">
        <v>864</v>
      </c>
      <c r="I165" s="9">
        <v>336</v>
      </c>
      <c r="J165" s="9">
        <v>1493</v>
      </c>
      <c r="K165" s="10">
        <v>33310</v>
      </c>
      <c r="L165" s="9">
        <v>165932</v>
      </c>
      <c r="M165" s="6" t="s">
        <v>34</v>
      </c>
      <c r="N165" s="11">
        <f t="shared" si="3"/>
        <v>9.6202058674637797E-2</v>
      </c>
    </row>
    <row r="166" spans="1:14" ht="15" thickBot="1" x14ac:dyDescent="0.35">
      <c r="A166" s="6" t="s">
        <v>67</v>
      </c>
      <c r="B166" s="7" t="s">
        <v>47</v>
      </c>
      <c r="C166" s="8">
        <v>45752</v>
      </c>
      <c r="D166" s="7" t="s">
        <v>31</v>
      </c>
      <c r="E166" s="7" t="s">
        <v>43</v>
      </c>
      <c r="F166" s="7" t="s">
        <v>44</v>
      </c>
      <c r="G166" s="9">
        <v>22384</v>
      </c>
      <c r="H166" s="9">
        <v>601</v>
      </c>
      <c r="I166" s="9">
        <v>943</v>
      </c>
      <c r="J166" s="9">
        <v>515</v>
      </c>
      <c r="K166" s="10">
        <v>41309</v>
      </c>
      <c r="L166" s="9">
        <v>249373</v>
      </c>
      <c r="M166" s="6" t="s">
        <v>18</v>
      </c>
      <c r="N166" s="11">
        <f t="shared" si="3"/>
        <v>9.5952649244304716E-2</v>
      </c>
    </row>
    <row r="167" spans="1:14" ht="15" thickBot="1" x14ac:dyDescent="0.35">
      <c r="A167" s="6" t="s">
        <v>282</v>
      </c>
      <c r="B167" s="7" t="s">
        <v>47</v>
      </c>
      <c r="C167" s="8">
        <v>45489</v>
      </c>
      <c r="D167" s="7" t="s">
        <v>26</v>
      </c>
      <c r="E167" s="7" t="s">
        <v>48</v>
      </c>
      <c r="F167" s="7" t="s">
        <v>32</v>
      </c>
      <c r="G167" s="9">
        <v>8767</v>
      </c>
      <c r="H167" s="9">
        <v>974</v>
      </c>
      <c r="I167" s="9">
        <v>733</v>
      </c>
      <c r="J167" s="9">
        <v>1587</v>
      </c>
      <c r="K167" s="10">
        <v>74927</v>
      </c>
      <c r="L167" s="9">
        <v>113770</v>
      </c>
      <c r="M167" s="6" t="s">
        <v>18</v>
      </c>
      <c r="N167" s="11">
        <f t="shared" si="3"/>
        <v>9.2062933989628198E-2</v>
      </c>
    </row>
    <row r="168" spans="1:14" ht="15" thickBot="1" x14ac:dyDescent="0.35">
      <c r="A168" s="6" t="s">
        <v>98</v>
      </c>
      <c r="B168" s="7" t="s">
        <v>20</v>
      </c>
      <c r="C168" s="8">
        <v>45644</v>
      </c>
      <c r="D168" s="7" t="s">
        <v>26</v>
      </c>
      <c r="E168" s="7" t="s">
        <v>48</v>
      </c>
      <c r="F168" s="7" t="s">
        <v>32</v>
      </c>
      <c r="G168" s="9">
        <v>14775</v>
      </c>
      <c r="H168" s="9">
        <v>1220</v>
      </c>
      <c r="I168" s="9">
        <v>640</v>
      </c>
      <c r="J168" s="9">
        <v>1547</v>
      </c>
      <c r="K168" s="10">
        <v>28527</v>
      </c>
      <c r="L168" s="9">
        <v>183660</v>
      </c>
      <c r="M168" s="6" t="s">
        <v>52</v>
      </c>
      <c r="N168" s="11">
        <f t="shared" si="3"/>
        <v>9.0574975498203203E-2</v>
      </c>
    </row>
    <row r="169" spans="1:14" ht="15" thickBot="1" x14ac:dyDescent="0.35">
      <c r="A169" s="6" t="s">
        <v>310</v>
      </c>
      <c r="B169" s="7" t="s">
        <v>47</v>
      </c>
      <c r="C169" s="8">
        <v>45621</v>
      </c>
      <c r="D169" s="7" t="s">
        <v>31</v>
      </c>
      <c r="E169" s="7" t="s">
        <v>48</v>
      </c>
      <c r="F169" s="7" t="s">
        <v>32</v>
      </c>
      <c r="G169" s="9">
        <v>17385</v>
      </c>
      <c r="H169" s="9">
        <v>831</v>
      </c>
      <c r="I169" s="9">
        <v>568</v>
      </c>
      <c r="J169" s="9">
        <v>2227</v>
      </c>
      <c r="K169" s="10">
        <v>49351</v>
      </c>
      <c r="L169" s="9">
        <v>207450</v>
      </c>
      <c r="M169" s="6" t="s">
        <v>29</v>
      </c>
      <c r="N169" s="11">
        <f t="shared" si="3"/>
        <v>9.0547119787900698E-2</v>
      </c>
    </row>
    <row r="170" spans="1:14" ht="15" thickBot="1" x14ac:dyDescent="0.35">
      <c r="A170" s="6" t="s">
        <v>223</v>
      </c>
      <c r="B170" s="7" t="s">
        <v>25</v>
      </c>
      <c r="C170" s="8">
        <v>45488</v>
      </c>
      <c r="D170" s="7" t="s">
        <v>15</v>
      </c>
      <c r="E170" s="7" t="s">
        <v>32</v>
      </c>
      <c r="F170" s="7" t="s">
        <v>57</v>
      </c>
      <c r="G170" s="9">
        <v>17034</v>
      </c>
      <c r="H170" s="9">
        <v>231</v>
      </c>
      <c r="I170" s="9">
        <v>290</v>
      </c>
      <c r="J170" s="9">
        <v>1387</v>
      </c>
      <c r="K170" s="10">
        <v>63550</v>
      </c>
      <c r="L170" s="9">
        <v>198280</v>
      </c>
      <c r="M170" s="6" t="s">
        <v>52</v>
      </c>
      <c r="N170" s="11">
        <f t="shared" si="3"/>
        <v>8.8536413153116805E-2</v>
      </c>
    </row>
    <row r="171" spans="1:14" ht="15" thickBot="1" x14ac:dyDescent="0.35">
      <c r="A171" s="6" t="s">
        <v>19</v>
      </c>
      <c r="B171" s="7" t="s">
        <v>20</v>
      </c>
      <c r="C171" s="8">
        <v>45903</v>
      </c>
      <c r="D171" s="7" t="s">
        <v>15</v>
      </c>
      <c r="E171" s="7" t="s">
        <v>21</v>
      </c>
      <c r="F171" s="7" t="s">
        <v>22</v>
      </c>
      <c r="G171" s="9">
        <v>4779</v>
      </c>
      <c r="H171" s="9">
        <v>1110</v>
      </c>
      <c r="I171" s="9">
        <v>436</v>
      </c>
      <c r="J171" s="9">
        <v>1574</v>
      </c>
      <c r="K171" s="10">
        <v>77167</v>
      </c>
      <c r="L171" s="9">
        <v>71585</v>
      </c>
      <c r="M171" s="6" t="s">
        <v>23</v>
      </c>
      <c r="N171" s="11">
        <f t="shared" si="3"/>
        <v>8.8356499266606131E-2</v>
      </c>
    </row>
    <row r="172" spans="1:14" ht="15" thickBot="1" x14ac:dyDescent="0.35">
      <c r="A172" s="6" t="s">
        <v>130</v>
      </c>
      <c r="B172" s="7" t="s">
        <v>14</v>
      </c>
      <c r="C172" s="8">
        <v>45684</v>
      </c>
      <c r="D172" s="7" t="s">
        <v>39</v>
      </c>
      <c r="E172" s="7" t="s">
        <v>48</v>
      </c>
      <c r="F172" s="7" t="s">
        <v>32</v>
      </c>
      <c r="G172" s="9">
        <v>8949</v>
      </c>
      <c r="H172" s="9">
        <v>1477</v>
      </c>
      <c r="I172" s="9">
        <v>424</v>
      </c>
      <c r="J172" s="9">
        <v>1030</v>
      </c>
      <c r="K172" s="10">
        <v>58052</v>
      </c>
      <c r="L172" s="9">
        <v>123310</v>
      </c>
      <c r="M172" s="6" t="s">
        <v>18</v>
      </c>
      <c r="N172" s="11">
        <f t="shared" si="3"/>
        <v>8.7989619657773091E-2</v>
      </c>
    </row>
    <row r="173" spans="1:14" ht="15" thickBot="1" x14ac:dyDescent="0.35">
      <c r="A173" s="6" t="s">
        <v>99</v>
      </c>
      <c r="B173" s="7" t="s">
        <v>20</v>
      </c>
      <c r="C173" s="8">
        <v>45586</v>
      </c>
      <c r="D173" s="7" t="s">
        <v>31</v>
      </c>
      <c r="E173" s="7" t="s">
        <v>32</v>
      </c>
      <c r="F173" s="7" t="s">
        <v>57</v>
      </c>
      <c r="G173" s="9">
        <v>12015</v>
      </c>
      <c r="H173" s="9">
        <v>1196</v>
      </c>
      <c r="I173" s="9">
        <v>998</v>
      </c>
      <c r="J173" s="9">
        <v>1848</v>
      </c>
      <c r="K173" s="10">
        <v>44739</v>
      </c>
      <c r="L173" s="9">
        <v>161750</v>
      </c>
      <c r="M173" s="6" t="s">
        <v>52</v>
      </c>
      <c r="N173" s="11">
        <f t="shared" si="3"/>
        <v>8.7845440494590421E-2</v>
      </c>
    </row>
    <row r="174" spans="1:14" ht="15" thickBot="1" x14ac:dyDescent="0.35">
      <c r="A174" s="6" t="s">
        <v>341</v>
      </c>
      <c r="B174" s="7" t="s">
        <v>47</v>
      </c>
      <c r="C174" s="8">
        <v>45650</v>
      </c>
      <c r="D174" s="7" t="s">
        <v>15</v>
      </c>
      <c r="E174" s="7" t="s">
        <v>71</v>
      </c>
      <c r="F174" s="7"/>
      <c r="G174" s="9">
        <v>10512</v>
      </c>
      <c r="H174" s="9">
        <v>1197</v>
      </c>
      <c r="I174" s="9">
        <v>544</v>
      </c>
      <c r="J174" s="9">
        <v>2012</v>
      </c>
      <c r="K174" s="10">
        <v>10245</v>
      </c>
      <c r="L174" s="9">
        <v>140102</v>
      </c>
      <c r="M174" s="6" t="s">
        <v>18</v>
      </c>
      <c r="N174" s="11">
        <f t="shared" si="3"/>
        <v>8.745770938316369E-2</v>
      </c>
    </row>
    <row r="175" spans="1:14" ht="15" thickBot="1" x14ac:dyDescent="0.35">
      <c r="A175" s="6" t="s">
        <v>181</v>
      </c>
      <c r="B175" s="7" t="s">
        <v>25</v>
      </c>
      <c r="C175" s="8">
        <v>45504</v>
      </c>
      <c r="D175" s="7" t="s">
        <v>39</v>
      </c>
      <c r="E175" s="7" t="s">
        <v>32</v>
      </c>
      <c r="F175" s="7" t="s">
        <v>33</v>
      </c>
      <c r="G175" s="9">
        <v>13314</v>
      </c>
      <c r="H175" s="9">
        <v>274</v>
      </c>
      <c r="I175" s="9">
        <v>626</v>
      </c>
      <c r="J175" s="9">
        <v>2280</v>
      </c>
      <c r="K175" s="10">
        <v>14639</v>
      </c>
      <c r="L175" s="9">
        <v>163008</v>
      </c>
      <c r="M175" s="6" t="s">
        <v>34</v>
      </c>
      <c r="N175" s="11">
        <f t="shared" si="3"/>
        <v>8.7198174322732622E-2</v>
      </c>
    </row>
    <row r="176" spans="1:14" ht="15" thickBot="1" x14ac:dyDescent="0.35">
      <c r="A176" s="6" t="s">
        <v>70</v>
      </c>
      <c r="B176" s="7" t="s">
        <v>20</v>
      </c>
      <c r="C176" s="8">
        <v>45910</v>
      </c>
      <c r="D176" s="7" t="s">
        <v>39</v>
      </c>
      <c r="E176" s="7" t="s">
        <v>71</v>
      </c>
      <c r="F176" s="7"/>
      <c r="G176" s="9">
        <v>9266</v>
      </c>
      <c r="H176" s="9">
        <v>999</v>
      </c>
      <c r="I176" s="9">
        <v>928</v>
      </c>
      <c r="J176" s="9">
        <v>2700</v>
      </c>
      <c r="K176" s="10">
        <v>12264</v>
      </c>
      <c r="L176" s="9">
        <v>128397</v>
      </c>
      <c r="M176" s="6" t="s">
        <v>23</v>
      </c>
      <c r="N176" s="11">
        <f t="shared" si="3"/>
        <v>8.7174933993784898E-2</v>
      </c>
    </row>
    <row r="177" spans="1:14" ht="15" thickBot="1" x14ac:dyDescent="0.35">
      <c r="A177" s="6" t="s">
        <v>76</v>
      </c>
      <c r="B177" s="7" t="s">
        <v>47</v>
      </c>
      <c r="C177" s="8">
        <v>45912</v>
      </c>
      <c r="D177" s="7" t="s">
        <v>26</v>
      </c>
      <c r="E177" s="7" t="s">
        <v>27</v>
      </c>
      <c r="F177" s="7" t="s">
        <v>28</v>
      </c>
      <c r="G177" s="9">
        <v>17158</v>
      </c>
      <c r="H177" s="9">
        <v>1192</v>
      </c>
      <c r="I177" s="9">
        <v>262</v>
      </c>
      <c r="J177" s="9">
        <v>2016</v>
      </c>
      <c r="K177" s="10">
        <v>28771</v>
      </c>
      <c r="L177" s="9">
        <v>216037</v>
      </c>
      <c r="M177" s="6" t="s">
        <v>23</v>
      </c>
      <c r="N177" s="11">
        <f t="shared" si="3"/>
        <v>8.6151909163708074E-2</v>
      </c>
    </row>
    <row r="178" spans="1:14" ht="15" thickBot="1" x14ac:dyDescent="0.35">
      <c r="A178" s="6" t="s">
        <v>106</v>
      </c>
      <c r="B178" s="7" t="s">
        <v>25</v>
      </c>
      <c r="C178" s="8">
        <v>45521</v>
      </c>
      <c r="D178" s="7" t="s">
        <v>31</v>
      </c>
      <c r="E178" s="7" t="s">
        <v>37</v>
      </c>
      <c r="F178" s="7"/>
      <c r="G178" s="9">
        <v>19154</v>
      </c>
      <c r="H178" s="9">
        <v>1064</v>
      </c>
      <c r="I178" s="9">
        <v>650</v>
      </c>
      <c r="J178" s="9">
        <v>747</v>
      </c>
      <c r="K178" s="10">
        <v>42667</v>
      </c>
      <c r="L178" s="9">
        <v>242332</v>
      </c>
      <c r="M178" s="6" t="s">
        <v>29</v>
      </c>
      <c r="N178" s="11">
        <f t="shared" si="3"/>
        <v>8.6113266097750191E-2</v>
      </c>
    </row>
    <row r="179" spans="1:14" ht="15" thickBot="1" x14ac:dyDescent="0.35">
      <c r="A179" s="6" t="s">
        <v>97</v>
      </c>
      <c r="B179" s="7" t="s">
        <v>14</v>
      </c>
      <c r="C179" s="8">
        <v>45460</v>
      </c>
      <c r="D179" s="7" t="s">
        <v>39</v>
      </c>
      <c r="E179" s="7" t="s">
        <v>16</v>
      </c>
      <c r="F179" s="7" t="s">
        <v>17</v>
      </c>
      <c r="G179" s="9">
        <v>6976</v>
      </c>
      <c r="H179" s="9">
        <v>1320</v>
      </c>
      <c r="I179" s="9">
        <v>393</v>
      </c>
      <c r="J179" s="9">
        <v>2285</v>
      </c>
      <c r="K179" s="10">
        <v>14049</v>
      </c>
      <c r="L179" s="9">
        <v>101367</v>
      </c>
      <c r="M179" s="6" t="s">
        <v>52</v>
      </c>
      <c r="N179" s="11">
        <f t="shared" si="3"/>
        <v>8.5718231771681114E-2</v>
      </c>
    </row>
    <row r="180" spans="1:14" ht="15" thickBot="1" x14ac:dyDescent="0.35">
      <c r="A180" s="6" t="s">
        <v>303</v>
      </c>
      <c r="B180" s="7" t="s">
        <v>20</v>
      </c>
      <c r="C180" s="8">
        <v>45698</v>
      </c>
      <c r="D180" s="7" t="s">
        <v>39</v>
      </c>
      <c r="E180" s="7" t="s">
        <v>21</v>
      </c>
      <c r="F180" s="7" t="s">
        <v>22</v>
      </c>
      <c r="G180" s="9">
        <v>16309</v>
      </c>
      <c r="H180" s="9">
        <v>1449</v>
      </c>
      <c r="I180" s="9">
        <v>838</v>
      </c>
      <c r="J180" s="9">
        <v>2434</v>
      </c>
      <c r="K180" s="10">
        <v>2940</v>
      </c>
      <c r="L180" s="9">
        <v>217953</v>
      </c>
      <c r="M180" s="6" t="s">
        <v>34</v>
      </c>
      <c r="N180" s="11">
        <f t="shared" si="3"/>
        <v>8.5321147219813445E-2</v>
      </c>
    </row>
    <row r="181" spans="1:14" ht="15" thickBot="1" x14ac:dyDescent="0.35">
      <c r="A181" s="6" t="s">
        <v>66</v>
      </c>
      <c r="B181" s="7" t="s">
        <v>20</v>
      </c>
      <c r="C181" s="8">
        <v>45909</v>
      </c>
      <c r="D181" s="7" t="s">
        <v>31</v>
      </c>
      <c r="E181" s="7" t="s">
        <v>43</v>
      </c>
      <c r="F181" s="7" t="s">
        <v>44</v>
      </c>
      <c r="G181" s="9">
        <v>15772</v>
      </c>
      <c r="H181" s="9">
        <v>288</v>
      </c>
      <c r="I181" s="9">
        <v>520</v>
      </c>
      <c r="J181" s="9">
        <v>1585</v>
      </c>
      <c r="K181" s="10">
        <v>59182</v>
      </c>
      <c r="L181" s="9">
        <v>194351</v>
      </c>
      <c r="M181" s="6" t="s">
        <v>23</v>
      </c>
      <c r="N181" s="11">
        <f t="shared" si="3"/>
        <v>8.5309568769905988E-2</v>
      </c>
    </row>
    <row r="182" spans="1:14" ht="15" thickBot="1" x14ac:dyDescent="0.35">
      <c r="A182" s="6" t="s">
        <v>257</v>
      </c>
      <c r="B182" s="7" t="s">
        <v>25</v>
      </c>
      <c r="C182" s="8">
        <v>45778</v>
      </c>
      <c r="D182" s="7" t="s">
        <v>26</v>
      </c>
      <c r="E182" s="7" t="s">
        <v>48</v>
      </c>
      <c r="F182" s="7" t="s">
        <v>32</v>
      </c>
      <c r="G182" s="9">
        <v>10258</v>
      </c>
      <c r="H182" s="9">
        <v>527</v>
      </c>
      <c r="I182" s="9">
        <v>854</v>
      </c>
      <c r="J182" s="9">
        <v>2068</v>
      </c>
      <c r="K182" s="10">
        <v>45632</v>
      </c>
      <c r="L182" s="9">
        <v>136546</v>
      </c>
      <c r="M182" s="6" t="s">
        <v>52</v>
      </c>
      <c r="N182" s="11">
        <f t="shared" si="3"/>
        <v>8.5238674146441498E-2</v>
      </c>
    </row>
    <row r="183" spans="1:14" ht="15" thickBot="1" x14ac:dyDescent="0.35">
      <c r="A183" s="6" t="s">
        <v>299</v>
      </c>
      <c r="B183" s="7" t="s">
        <v>25</v>
      </c>
      <c r="C183" s="8">
        <v>45750</v>
      </c>
      <c r="D183" s="7" t="s">
        <v>15</v>
      </c>
      <c r="E183" s="7" t="s">
        <v>122</v>
      </c>
      <c r="F183" s="7" t="s">
        <v>123</v>
      </c>
      <c r="G183" s="9">
        <v>10837</v>
      </c>
      <c r="H183" s="9">
        <v>1004</v>
      </c>
      <c r="I183" s="9">
        <v>922</v>
      </c>
      <c r="J183" s="9">
        <v>1108</v>
      </c>
      <c r="K183" s="10">
        <v>36807</v>
      </c>
      <c r="L183" s="9">
        <v>150350</v>
      </c>
      <c r="M183" s="6" t="s">
        <v>29</v>
      </c>
      <c r="N183" s="11">
        <f t="shared" si="3"/>
        <v>8.4888593282341204E-2</v>
      </c>
    </row>
    <row r="184" spans="1:14" ht="15" thickBot="1" x14ac:dyDescent="0.35">
      <c r="A184" s="6" t="s">
        <v>42</v>
      </c>
      <c r="B184" s="7" t="s">
        <v>25</v>
      </c>
      <c r="C184" s="8">
        <v>45486</v>
      </c>
      <c r="D184" s="7" t="s">
        <v>31</v>
      </c>
      <c r="E184" s="7" t="s">
        <v>43</v>
      </c>
      <c r="F184" s="7" t="s">
        <v>44</v>
      </c>
      <c r="G184" s="9">
        <v>18639</v>
      </c>
      <c r="H184" s="9">
        <v>1360</v>
      </c>
      <c r="I184" s="9">
        <v>898</v>
      </c>
      <c r="J184" s="9">
        <v>2011</v>
      </c>
      <c r="K184" s="10">
        <v>42841</v>
      </c>
      <c r="L184" s="9">
        <v>247779</v>
      </c>
      <c r="M184" s="6" t="s">
        <v>34</v>
      </c>
      <c r="N184" s="11">
        <f t="shared" si="3"/>
        <v>8.4337252148083575E-2</v>
      </c>
    </row>
    <row r="185" spans="1:14" ht="15" thickBot="1" x14ac:dyDescent="0.35">
      <c r="A185" s="6" t="s">
        <v>259</v>
      </c>
      <c r="B185" s="7" t="s">
        <v>14</v>
      </c>
      <c r="C185" s="8">
        <v>45925</v>
      </c>
      <c r="D185" s="7" t="s">
        <v>31</v>
      </c>
      <c r="E185" s="7" t="s">
        <v>62</v>
      </c>
      <c r="F185" s="7" t="s">
        <v>37</v>
      </c>
      <c r="G185" s="9">
        <v>8371</v>
      </c>
      <c r="H185" s="9">
        <v>960</v>
      </c>
      <c r="I185" s="9">
        <v>548</v>
      </c>
      <c r="J185" s="9">
        <v>2936</v>
      </c>
      <c r="K185" s="10">
        <v>82543</v>
      </c>
      <c r="L185" s="9">
        <v>119973</v>
      </c>
      <c r="M185" s="6" t="s">
        <v>23</v>
      </c>
      <c r="N185" s="11">
        <f t="shared" si="3"/>
        <v>8.2343527293641069E-2</v>
      </c>
    </row>
    <row r="186" spans="1:14" ht="15" thickBot="1" x14ac:dyDescent="0.35">
      <c r="A186" s="6" t="s">
        <v>161</v>
      </c>
      <c r="B186" s="7" t="s">
        <v>25</v>
      </c>
      <c r="C186" s="8">
        <v>45600</v>
      </c>
      <c r="D186" s="7" t="s">
        <v>15</v>
      </c>
      <c r="E186" s="7" t="s">
        <v>32</v>
      </c>
      <c r="F186" s="7" t="s">
        <v>57</v>
      </c>
      <c r="G186" s="9">
        <v>14015</v>
      </c>
      <c r="H186" s="9">
        <v>978</v>
      </c>
      <c r="I186" s="9">
        <v>196</v>
      </c>
      <c r="J186" s="9">
        <v>2744</v>
      </c>
      <c r="K186" s="10">
        <v>20190</v>
      </c>
      <c r="L186" s="9">
        <v>186470</v>
      </c>
      <c r="M186" s="6" t="s">
        <v>29</v>
      </c>
      <c r="N186" s="11">
        <f t="shared" si="3"/>
        <v>8.1455462004611998E-2</v>
      </c>
    </row>
    <row r="187" spans="1:14" ht="15" thickBot="1" x14ac:dyDescent="0.35">
      <c r="A187" s="6" t="s">
        <v>220</v>
      </c>
      <c r="B187" s="7" t="s">
        <v>47</v>
      </c>
      <c r="C187" s="8">
        <v>45939</v>
      </c>
      <c r="D187" s="7" t="s">
        <v>39</v>
      </c>
      <c r="E187" s="7" t="s">
        <v>27</v>
      </c>
      <c r="F187" s="7" t="s">
        <v>28</v>
      </c>
      <c r="G187" s="9">
        <v>18748</v>
      </c>
      <c r="H187" s="9">
        <v>634</v>
      </c>
      <c r="I187" s="9">
        <v>400</v>
      </c>
      <c r="J187" s="9">
        <v>1667</v>
      </c>
      <c r="K187" s="10">
        <v>75813</v>
      </c>
      <c r="L187" s="9">
        <v>244456</v>
      </c>
      <c r="M187" s="6" t="s">
        <v>23</v>
      </c>
      <c r="N187" s="11">
        <f t="shared" si="3"/>
        <v>8.0922538207284747E-2</v>
      </c>
    </row>
    <row r="188" spans="1:14" ht="15" thickBot="1" x14ac:dyDescent="0.35">
      <c r="A188" s="6" t="s">
        <v>219</v>
      </c>
      <c r="B188" s="7" t="s">
        <v>20</v>
      </c>
      <c r="C188" s="8">
        <v>45938</v>
      </c>
      <c r="D188" s="7" t="s">
        <v>26</v>
      </c>
      <c r="E188" s="7" t="s">
        <v>32</v>
      </c>
      <c r="F188" s="7" t="s">
        <v>57</v>
      </c>
      <c r="G188" s="9">
        <v>17745</v>
      </c>
      <c r="H188" s="9">
        <v>414</v>
      </c>
      <c r="I188" s="9">
        <v>563</v>
      </c>
      <c r="J188" s="9">
        <v>2733</v>
      </c>
      <c r="K188" s="10">
        <v>995</v>
      </c>
      <c r="L188" s="9">
        <v>231648</v>
      </c>
      <c r="M188" s="6" t="s">
        <v>23</v>
      </c>
      <c r="N188" s="11">
        <f t="shared" si="3"/>
        <v>8.0820900676889074E-2</v>
      </c>
    </row>
    <row r="189" spans="1:14" ht="15" thickBot="1" x14ac:dyDescent="0.35">
      <c r="A189" s="6" t="s">
        <v>256</v>
      </c>
      <c r="B189" s="7" t="s">
        <v>14</v>
      </c>
      <c r="C189" s="8">
        <v>45719</v>
      </c>
      <c r="D189" s="7" t="s">
        <v>31</v>
      </c>
      <c r="E189" s="7" t="s">
        <v>16</v>
      </c>
      <c r="F189" s="7" t="s">
        <v>17</v>
      </c>
      <c r="G189" s="9">
        <v>9561</v>
      </c>
      <c r="H189" s="9">
        <v>642</v>
      </c>
      <c r="I189" s="9">
        <v>581</v>
      </c>
      <c r="J189" s="9">
        <v>2572</v>
      </c>
      <c r="K189" s="10">
        <v>38552</v>
      </c>
      <c r="L189" s="9">
        <v>133680</v>
      </c>
      <c r="M189" s="6" t="s">
        <v>18</v>
      </c>
      <c r="N189" s="11">
        <f t="shared" si="3"/>
        <v>8.0670257330939563E-2</v>
      </c>
    </row>
    <row r="190" spans="1:14" ht="15" thickBot="1" x14ac:dyDescent="0.35">
      <c r="A190" s="6" t="s">
        <v>216</v>
      </c>
      <c r="B190" s="7" t="s">
        <v>25</v>
      </c>
      <c r="C190" s="8">
        <v>45518</v>
      </c>
      <c r="D190" s="7" t="s">
        <v>39</v>
      </c>
      <c r="E190" s="7" t="s">
        <v>122</v>
      </c>
      <c r="F190" s="7" t="s">
        <v>123</v>
      </c>
      <c r="G190" s="9">
        <v>10150</v>
      </c>
      <c r="H190" s="9">
        <v>526</v>
      </c>
      <c r="I190" s="9">
        <v>888</v>
      </c>
      <c r="J190" s="9">
        <v>1313</v>
      </c>
      <c r="K190" s="10">
        <v>51605</v>
      </c>
      <c r="L190" s="9">
        <v>143409</v>
      </c>
      <c r="M190" s="6" t="s">
        <v>18</v>
      </c>
      <c r="N190" s="11">
        <f t="shared" si="3"/>
        <v>8.0636501195880311E-2</v>
      </c>
    </row>
    <row r="191" spans="1:14" ht="15" thickBot="1" x14ac:dyDescent="0.35">
      <c r="A191" s="6" t="s">
        <v>235</v>
      </c>
      <c r="B191" s="7" t="s">
        <v>14</v>
      </c>
      <c r="C191" s="8">
        <v>45944</v>
      </c>
      <c r="D191" s="7" t="s">
        <v>39</v>
      </c>
      <c r="E191" s="7" t="s">
        <v>62</v>
      </c>
      <c r="F191" s="7" t="s">
        <v>37</v>
      </c>
      <c r="G191" s="9">
        <v>9673</v>
      </c>
      <c r="H191" s="9">
        <v>393</v>
      </c>
      <c r="I191" s="9">
        <v>846</v>
      </c>
      <c r="J191" s="9">
        <v>1028</v>
      </c>
      <c r="K191" s="10">
        <v>55556</v>
      </c>
      <c r="L191" s="9">
        <v>136652</v>
      </c>
      <c r="M191" s="6" t="s">
        <v>23</v>
      </c>
      <c r="N191" s="11">
        <f t="shared" si="3"/>
        <v>7.9852471972601938E-2</v>
      </c>
    </row>
    <row r="192" spans="1:14" ht="15" thickBot="1" x14ac:dyDescent="0.35">
      <c r="A192" s="6" t="s">
        <v>271</v>
      </c>
      <c r="B192" s="7" t="s">
        <v>25</v>
      </c>
      <c r="C192" s="8">
        <v>45455</v>
      </c>
      <c r="D192" s="7" t="s">
        <v>26</v>
      </c>
      <c r="E192" s="7" t="s">
        <v>21</v>
      </c>
      <c r="F192" s="7" t="s">
        <v>22</v>
      </c>
      <c r="G192" s="9">
        <v>17679</v>
      </c>
      <c r="H192" s="9">
        <v>690</v>
      </c>
      <c r="I192" s="9">
        <v>451</v>
      </c>
      <c r="J192" s="9">
        <v>2195</v>
      </c>
      <c r="K192" s="10">
        <v>4390</v>
      </c>
      <c r="L192" s="9">
        <v>235804</v>
      </c>
      <c r="M192" s="6" t="s">
        <v>52</v>
      </c>
      <c r="N192" s="11">
        <f t="shared" si="3"/>
        <v>7.9812047293514959E-2</v>
      </c>
    </row>
    <row r="193" spans="1:14" ht="15" thickBot="1" x14ac:dyDescent="0.35">
      <c r="A193" s="6" t="s">
        <v>311</v>
      </c>
      <c r="B193" s="7" t="s">
        <v>20</v>
      </c>
      <c r="C193" s="8">
        <v>45569</v>
      </c>
      <c r="D193" s="7" t="s">
        <v>31</v>
      </c>
      <c r="E193" s="7" t="s">
        <v>32</v>
      </c>
      <c r="F193" s="7" t="s">
        <v>57</v>
      </c>
      <c r="G193" s="9">
        <v>15746</v>
      </c>
      <c r="H193" s="9">
        <v>258</v>
      </c>
      <c r="I193" s="9">
        <v>839</v>
      </c>
      <c r="J193" s="9">
        <v>2656</v>
      </c>
      <c r="K193" s="10">
        <v>66614</v>
      </c>
      <c r="L193" s="9">
        <v>213724</v>
      </c>
      <c r="M193" s="6" t="s">
        <v>29</v>
      </c>
      <c r="N193" s="11">
        <f t="shared" si="3"/>
        <v>7.8807246729426739E-2</v>
      </c>
    </row>
    <row r="194" spans="1:14" ht="15" thickBot="1" x14ac:dyDescent="0.35">
      <c r="A194" s="6" t="s">
        <v>101</v>
      </c>
      <c r="B194" s="7" t="s">
        <v>14</v>
      </c>
      <c r="C194" s="8">
        <v>45465</v>
      </c>
      <c r="D194" s="7" t="s">
        <v>15</v>
      </c>
      <c r="E194" s="7" t="s">
        <v>43</v>
      </c>
      <c r="F194" s="7" t="s">
        <v>44</v>
      </c>
      <c r="G194" s="9">
        <v>16430</v>
      </c>
      <c r="H194" s="9">
        <v>488</v>
      </c>
      <c r="I194" s="9">
        <v>514</v>
      </c>
      <c r="J194" s="9">
        <v>1436</v>
      </c>
      <c r="K194" s="10">
        <v>30059</v>
      </c>
      <c r="L194" s="9">
        <v>223305</v>
      </c>
      <c r="M194" s="6" t="s">
        <v>34</v>
      </c>
      <c r="N194" s="11">
        <f t="shared" ref="N194:N257" si="4">(G194+H194+I194)/L194</f>
        <v>7.8063634938760881E-2</v>
      </c>
    </row>
    <row r="195" spans="1:14" ht="15" thickBot="1" x14ac:dyDescent="0.35">
      <c r="A195" s="6" t="s">
        <v>168</v>
      </c>
      <c r="B195" s="7" t="s">
        <v>14</v>
      </c>
      <c r="C195" s="8">
        <v>45753</v>
      </c>
      <c r="D195" s="7" t="s">
        <v>26</v>
      </c>
      <c r="E195" s="7" t="s">
        <v>62</v>
      </c>
      <c r="F195" s="7" t="s">
        <v>37</v>
      </c>
      <c r="G195" s="9">
        <v>8238</v>
      </c>
      <c r="H195" s="9">
        <v>766</v>
      </c>
      <c r="I195" s="9">
        <v>235</v>
      </c>
      <c r="J195" s="9">
        <v>1273</v>
      </c>
      <c r="K195" s="10">
        <v>4706</v>
      </c>
      <c r="L195" s="9">
        <v>119141</v>
      </c>
      <c r="M195" s="6" t="s">
        <v>34</v>
      </c>
      <c r="N195" s="11">
        <f t="shared" si="4"/>
        <v>7.7546772311798629E-2</v>
      </c>
    </row>
    <row r="196" spans="1:14" ht="15" thickBot="1" x14ac:dyDescent="0.35">
      <c r="A196" s="6" t="s">
        <v>145</v>
      </c>
      <c r="B196" s="7" t="s">
        <v>14</v>
      </c>
      <c r="C196" s="8">
        <v>45583</v>
      </c>
      <c r="D196" s="7" t="s">
        <v>39</v>
      </c>
      <c r="E196" s="7" t="s">
        <v>21</v>
      </c>
      <c r="F196" s="7" t="s">
        <v>22</v>
      </c>
      <c r="G196" s="9">
        <v>6892</v>
      </c>
      <c r="H196" s="9">
        <v>1184</v>
      </c>
      <c r="I196" s="9">
        <v>925</v>
      </c>
      <c r="J196" s="9">
        <v>1062</v>
      </c>
      <c r="K196" s="10">
        <v>75008</v>
      </c>
      <c r="L196" s="9">
        <v>116260</v>
      </c>
      <c r="M196" s="6" t="s">
        <v>52</v>
      </c>
      <c r="N196" s="11">
        <f t="shared" si="4"/>
        <v>7.7421297092723204E-2</v>
      </c>
    </row>
    <row r="197" spans="1:14" ht="15" thickBot="1" x14ac:dyDescent="0.35">
      <c r="A197" s="6" t="s">
        <v>322</v>
      </c>
      <c r="B197" s="7" t="s">
        <v>47</v>
      </c>
      <c r="C197" s="8">
        <v>45622</v>
      </c>
      <c r="D197" s="7" t="s">
        <v>31</v>
      </c>
      <c r="E197" s="7" t="s">
        <v>40</v>
      </c>
      <c r="F197" s="7" t="s">
        <v>41</v>
      </c>
      <c r="G197" s="9">
        <v>14607</v>
      </c>
      <c r="H197" s="9">
        <v>1458</v>
      </c>
      <c r="I197" s="9">
        <v>478</v>
      </c>
      <c r="J197" s="9">
        <v>334</v>
      </c>
      <c r="K197" s="10">
        <v>49257</v>
      </c>
      <c r="L197" s="9">
        <v>214668</v>
      </c>
      <c r="M197" s="6" t="s">
        <v>34</v>
      </c>
      <c r="N197" s="11">
        <f t="shared" si="4"/>
        <v>7.7063185942944451E-2</v>
      </c>
    </row>
    <row r="198" spans="1:14" ht="15" thickBot="1" x14ac:dyDescent="0.35">
      <c r="A198" s="6" t="s">
        <v>49</v>
      </c>
      <c r="B198" s="7" t="s">
        <v>14</v>
      </c>
      <c r="C198" s="8">
        <v>45690</v>
      </c>
      <c r="D198" s="7" t="s">
        <v>39</v>
      </c>
      <c r="E198" s="7" t="s">
        <v>32</v>
      </c>
      <c r="F198" s="7" t="s">
        <v>33</v>
      </c>
      <c r="G198" s="9">
        <v>12136</v>
      </c>
      <c r="H198" s="9">
        <v>1117</v>
      </c>
      <c r="I198" s="9">
        <v>834</v>
      </c>
      <c r="J198" s="9">
        <v>892</v>
      </c>
      <c r="K198" s="10">
        <v>24675</v>
      </c>
      <c r="L198" s="9">
        <v>183273</v>
      </c>
      <c r="M198" s="6" t="s">
        <v>29</v>
      </c>
      <c r="N198" s="11">
        <f t="shared" si="4"/>
        <v>7.6863476889667326E-2</v>
      </c>
    </row>
    <row r="199" spans="1:14" ht="15" thickBot="1" x14ac:dyDescent="0.35">
      <c r="A199" s="6" t="s">
        <v>321</v>
      </c>
      <c r="B199" s="7" t="s">
        <v>25</v>
      </c>
      <c r="C199" s="8">
        <v>45753</v>
      </c>
      <c r="D199" s="7" t="s">
        <v>15</v>
      </c>
      <c r="E199" s="7" t="s">
        <v>71</v>
      </c>
      <c r="F199" s="7"/>
      <c r="G199" s="9">
        <v>14941</v>
      </c>
      <c r="H199" s="9">
        <v>1424</v>
      </c>
      <c r="I199" s="9">
        <v>238</v>
      </c>
      <c r="J199" s="9">
        <v>1054</v>
      </c>
      <c r="K199" s="10">
        <v>20516</v>
      </c>
      <c r="L199" s="9">
        <v>216048</v>
      </c>
      <c r="M199" s="6" t="s">
        <v>52</v>
      </c>
      <c r="N199" s="11">
        <f t="shared" si="4"/>
        <v>7.6848663260016298E-2</v>
      </c>
    </row>
    <row r="200" spans="1:14" ht="15" thickBot="1" x14ac:dyDescent="0.35">
      <c r="A200" s="6" t="s">
        <v>160</v>
      </c>
      <c r="B200" s="7" t="s">
        <v>20</v>
      </c>
      <c r="C200" s="8">
        <v>45734</v>
      </c>
      <c r="D200" s="7" t="s">
        <v>15</v>
      </c>
      <c r="E200" s="7" t="s">
        <v>43</v>
      </c>
      <c r="F200" s="7" t="s">
        <v>44</v>
      </c>
      <c r="G200" s="9">
        <v>5818</v>
      </c>
      <c r="H200" s="9">
        <v>1252</v>
      </c>
      <c r="I200" s="9">
        <v>687</v>
      </c>
      <c r="J200" s="9">
        <v>2300</v>
      </c>
      <c r="K200" s="10">
        <v>25081</v>
      </c>
      <c r="L200" s="9">
        <v>101212</v>
      </c>
      <c r="M200" s="6" t="s">
        <v>52</v>
      </c>
      <c r="N200" s="11">
        <f t="shared" si="4"/>
        <v>7.6641109749832043E-2</v>
      </c>
    </row>
    <row r="201" spans="1:14" ht="15" thickBot="1" x14ac:dyDescent="0.35">
      <c r="A201" s="6" t="s">
        <v>156</v>
      </c>
      <c r="B201" s="7" t="s">
        <v>14</v>
      </c>
      <c r="C201" s="8">
        <v>45570</v>
      </c>
      <c r="D201" s="7" t="s">
        <v>39</v>
      </c>
      <c r="E201" s="7" t="s">
        <v>21</v>
      </c>
      <c r="F201" s="7" t="s">
        <v>22</v>
      </c>
      <c r="G201" s="9">
        <v>16388</v>
      </c>
      <c r="H201" s="9">
        <v>1208</v>
      </c>
      <c r="I201" s="9">
        <v>417</v>
      </c>
      <c r="J201" s="9">
        <v>2306</v>
      </c>
      <c r="K201" s="10">
        <v>16865</v>
      </c>
      <c r="L201" s="9">
        <v>236733</v>
      </c>
      <c r="M201" s="6" t="s">
        <v>18</v>
      </c>
      <c r="N201" s="11">
        <f t="shared" si="4"/>
        <v>7.6089940988370866E-2</v>
      </c>
    </row>
    <row r="202" spans="1:14" ht="15" thickBot="1" x14ac:dyDescent="0.35">
      <c r="A202" s="6" t="s">
        <v>255</v>
      </c>
      <c r="B202" s="7" t="s">
        <v>14</v>
      </c>
      <c r="C202" s="8">
        <v>45924</v>
      </c>
      <c r="D202" s="7" t="s">
        <v>15</v>
      </c>
      <c r="E202" s="7" t="s">
        <v>71</v>
      </c>
      <c r="F202" s="7"/>
      <c r="G202" s="9">
        <v>11795</v>
      </c>
      <c r="H202" s="9">
        <v>958</v>
      </c>
      <c r="I202" s="9">
        <v>814</v>
      </c>
      <c r="J202" s="9">
        <v>301</v>
      </c>
      <c r="K202" s="10">
        <v>12564</v>
      </c>
      <c r="L202" s="9">
        <v>179999</v>
      </c>
      <c r="M202" s="6" t="s">
        <v>23</v>
      </c>
      <c r="N202" s="11">
        <f t="shared" si="4"/>
        <v>7.5372640959116444E-2</v>
      </c>
    </row>
    <row r="203" spans="1:14" ht="15" thickBot="1" x14ac:dyDescent="0.35">
      <c r="A203" s="6" t="s">
        <v>277</v>
      </c>
      <c r="B203" s="7" t="s">
        <v>20</v>
      </c>
      <c r="C203" s="8">
        <v>45724</v>
      </c>
      <c r="D203" s="7" t="s">
        <v>15</v>
      </c>
      <c r="E203" s="7" t="s">
        <v>16</v>
      </c>
      <c r="F203" s="7" t="s">
        <v>17</v>
      </c>
      <c r="G203" s="9">
        <v>5812</v>
      </c>
      <c r="H203" s="9">
        <v>934</v>
      </c>
      <c r="I203" s="9">
        <v>302</v>
      </c>
      <c r="J203" s="9">
        <v>2356</v>
      </c>
      <c r="K203" s="10">
        <v>37437</v>
      </c>
      <c r="L203" s="9">
        <v>93551</v>
      </c>
      <c r="M203" s="6" t="s">
        <v>18</v>
      </c>
      <c r="N203" s="11">
        <f t="shared" si="4"/>
        <v>7.5338585370546551E-2</v>
      </c>
    </row>
    <row r="204" spans="1:14" ht="15" thickBot="1" x14ac:dyDescent="0.35">
      <c r="A204" s="6" t="s">
        <v>283</v>
      </c>
      <c r="B204" s="7" t="s">
        <v>14</v>
      </c>
      <c r="C204" s="8">
        <v>45910</v>
      </c>
      <c r="D204" s="7" t="s">
        <v>15</v>
      </c>
      <c r="E204" s="7" t="s">
        <v>21</v>
      </c>
      <c r="F204" s="7" t="s">
        <v>22</v>
      </c>
      <c r="G204" s="9">
        <v>13613</v>
      </c>
      <c r="H204" s="9">
        <v>350</v>
      </c>
      <c r="I204" s="9">
        <v>809</v>
      </c>
      <c r="J204" s="9">
        <v>2013</v>
      </c>
      <c r="K204" s="10">
        <v>20471</v>
      </c>
      <c r="L204" s="9">
        <v>198038</v>
      </c>
      <c r="M204" s="6" t="s">
        <v>23</v>
      </c>
      <c r="N204" s="11">
        <f t="shared" si="4"/>
        <v>7.4591745018632791E-2</v>
      </c>
    </row>
    <row r="205" spans="1:14" ht="15" thickBot="1" x14ac:dyDescent="0.35">
      <c r="A205" s="6" t="s">
        <v>56</v>
      </c>
      <c r="B205" s="7" t="s">
        <v>20</v>
      </c>
      <c r="C205" s="8">
        <v>45782</v>
      </c>
      <c r="D205" s="7" t="s">
        <v>26</v>
      </c>
      <c r="E205" s="7" t="s">
        <v>32</v>
      </c>
      <c r="F205" s="7" t="s">
        <v>57</v>
      </c>
      <c r="G205" s="9">
        <v>10415</v>
      </c>
      <c r="H205" s="9">
        <v>1388</v>
      </c>
      <c r="I205" s="9">
        <v>725</v>
      </c>
      <c r="J205" s="9">
        <v>2462</v>
      </c>
      <c r="K205" s="10">
        <v>53082</v>
      </c>
      <c r="L205" s="9">
        <v>168267</v>
      </c>
      <c r="M205" s="6" t="s">
        <v>52</v>
      </c>
      <c r="N205" s="11">
        <f t="shared" si="4"/>
        <v>7.4453101321114656E-2</v>
      </c>
    </row>
    <row r="206" spans="1:14" ht="15" thickBot="1" x14ac:dyDescent="0.35">
      <c r="A206" s="6" t="s">
        <v>296</v>
      </c>
      <c r="B206" s="7" t="s">
        <v>25</v>
      </c>
      <c r="C206" s="8">
        <v>45775</v>
      </c>
      <c r="D206" s="7" t="s">
        <v>39</v>
      </c>
      <c r="E206" s="7" t="s">
        <v>32</v>
      </c>
      <c r="F206" s="7" t="s">
        <v>57</v>
      </c>
      <c r="G206" s="9">
        <v>10659</v>
      </c>
      <c r="H206" s="9">
        <v>1342</v>
      </c>
      <c r="I206" s="9">
        <v>408</v>
      </c>
      <c r="J206" s="9">
        <v>709</v>
      </c>
      <c r="K206" s="10">
        <v>16309</v>
      </c>
      <c r="L206" s="9">
        <v>168803</v>
      </c>
      <c r="M206" s="6" t="s">
        <v>29</v>
      </c>
      <c r="N206" s="11">
        <f t="shared" si="4"/>
        <v>7.3511726687321907E-2</v>
      </c>
    </row>
    <row r="207" spans="1:14" ht="15" thickBot="1" x14ac:dyDescent="0.35">
      <c r="A207" s="6" t="s">
        <v>253</v>
      </c>
      <c r="B207" s="7" t="s">
        <v>47</v>
      </c>
      <c r="C207" s="8">
        <v>45735</v>
      </c>
      <c r="D207" s="7" t="s">
        <v>39</v>
      </c>
      <c r="E207" s="7" t="s">
        <v>32</v>
      </c>
      <c r="F207" s="7" t="s">
        <v>33</v>
      </c>
      <c r="G207" s="9">
        <v>13475</v>
      </c>
      <c r="H207" s="9">
        <v>1032</v>
      </c>
      <c r="I207" s="9">
        <v>295</v>
      </c>
      <c r="J207" s="9">
        <v>541</v>
      </c>
      <c r="K207" s="10">
        <v>43666</v>
      </c>
      <c r="L207" s="9">
        <v>202396</v>
      </c>
      <c r="M207" s="6" t="s">
        <v>52</v>
      </c>
      <c r="N207" s="11">
        <f t="shared" si="4"/>
        <v>7.3133856400324118E-2</v>
      </c>
    </row>
    <row r="208" spans="1:14" ht="15" thickBot="1" x14ac:dyDescent="0.35">
      <c r="A208" s="6" t="s">
        <v>58</v>
      </c>
      <c r="B208" s="7" t="s">
        <v>20</v>
      </c>
      <c r="C208" s="8">
        <v>45523</v>
      </c>
      <c r="D208" s="7" t="s">
        <v>15</v>
      </c>
      <c r="E208" s="7" t="s">
        <v>43</v>
      </c>
      <c r="F208" s="7" t="s">
        <v>44</v>
      </c>
      <c r="G208" s="9">
        <v>15550</v>
      </c>
      <c r="H208" s="9">
        <v>204</v>
      </c>
      <c r="I208" s="9">
        <v>279</v>
      </c>
      <c r="J208" s="9">
        <v>1646</v>
      </c>
      <c r="K208" s="10">
        <v>35819</v>
      </c>
      <c r="L208" s="9">
        <v>219436</v>
      </c>
      <c r="M208" s="6" t="s">
        <v>18</v>
      </c>
      <c r="N208" s="11">
        <f t="shared" si="4"/>
        <v>7.306458375107093E-2</v>
      </c>
    </row>
    <row r="209" spans="1:14" ht="15" thickBot="1" x14ac:dyDescent="0.35">
      <c r="A209" s="6" t="s">
        <v>273</v>
      </c>
      <c r="B209" s="7" t="s">
        <v>25</v>
      </c>
      <c r="C209" s="8">
        <v>45476</v>
      </c>
      <c r="D209" s="7" t="s">
        <v>31</v>
      </c>
      <c r="E209" s="7" t="s">
        <v>21</v>
      </c>
      <c r="F209" s="7" t="s">
        <v>22</v>
      </c>
      <c r="G209" s="9">
        <v>12167</v>
      </c>
      <c r="H209" s="9">
        <v>364</v>
      </c>
      <c r="I209" s="9">
        <v>160</v>
      </c>
      <c r="J209" s="9">
        <v>616</v>
      </c>
      <c r="K209" s="10">
        <v>42228</v>
      </c>
      <c r="L209" s="9">
        <v>175832</v>
      </c>
      <c r="M209" s="6" t="s">
        <v>29</v>
      </c>
      <c r="N209" s="11">
        <f t="shared" si="4"/>
        <v>7.2176850630146963E-2</v>
      </c>
    </row>
    <row r="210" spans="1:14" ht="15" thickBot="1" x14ac:dyDescent="0.35">
      <c r="A210" s="6" t="s">
        <v>133</v>
      </c>
      <c r="B210" s="7" t="s">
        <v>20</v>
      </c>
      <c r="C210" s="8">
        <v>45923</v>
      </c>
      <c r="D210" s="7" t="s">
        <v>15</v>
      </c>
      <c r="E210" s="7" t="s">
        <v>122</v>
      </c>
      <c r="F210" s="7" t="s">
        <v>123</v>
      </c>
      <c r="G210" s="9">
        <v>10017</v>
      </c>
      <c r="H210" s="9">
        <v>1357</v>
      </c>
      <c r="I210" s="9">
        <v>966</v>
      </c>
      <c r="J210" s="9">
        <v>2871</v>
      </c>
      <c r="K210" s="10">
        <v>14800</v>
      </c>
      <c r="L210" s="9">
        <v>171691</v>
      </c>
      <c r="M210" s="6" t="s">
        <v>23</v>
      </c>
      <c r="N210" s="11">
        <f t="shared" si="4"/>
        <v>7.1873307278774071E-2</v>
      </c>
    </row>
    <row r="211" spans="1:14" ht="15" thickBot="1" x14ac:dyDescent="0.35">
      <c r="A211" s="6" t="s">
        <v>221</v>
      </c>
      <c r="B211" s="7" t="s">
        <v>14</v>
      </c>
      <c r="C211" s="8">
        <v>45483</v>
      </c>
      <c r="D211" s="7" t="s">
        <v>15</v>
      </c>
      <c r="E211" s="7" t="s">
        <v>62</v>
      </c>
      <c r="F211" s="7" t="s">
        <v>37</v>
      </c>
      <c r="G211" s="9">
        <v>8809</v>
      </c>
      <c r="H211" s="9">
        <v>1151</v>
      </c>
      <c r="I211" s="9">
        <v>908</v>
      </c>
      <c r="J211" s="9">
        <v>883</v>
      </c>
      <c r="K211" s="10">
        <v>42921</v>
      </c>
      <c r="L211" s="9">
        <v>151279</v>
      </c>
      <c r="M211" s="6" t="s">
        <v>52</v>
      </c>
      <c r="N211" s="11">
        <f t="shared" si="4"/>
        <v>7.1840771025720687E-2</v>
      </c>
    </row>
    <row r="212" spans="1:14" ht="15" thickBot="1" x14ac:dyDescent="0.35">
      <c r="A212" s="6" t="s">
        <v>236</v>
      </c>
      <c r="B212" s="7" t="s">
        <v>14</v>
      </c>
      <c r="C212" s="8">
        <v>45945</v>
      </c>
      <c r="D212" s="7" t="s">
        <v>15</v>
      </c>
      <c r="E212" s="7" t="s">
        <v>43</v>
      </c>
      <c r="F212" s="7" t="s">
        <v>44</v>
      </c>
      <c r="G212" s="9">
        <v>8882</v>
      </c>
      <c r="H212" s="9">
        <v>701</v>
      </c>
      <c r="I212" s="9">
        <v>421</v>
      </c>
      <c r="J212" s="9">
        <v>2343</v>
      </c>
      <c r="K212" s="10">
        <v>13588</v>
      </c>
      <c r="L212" s="9">
        <v>139304</v>
      </c>
      <c r="M212" s="6" t="s">
        <v>23</v>
      </c>
      <c r="N212" s="11">
        <f t="shared" si="4"/>
        <v>7.1814161833113191E-2</v>
      </c>
    </row>
    <row r="213" spans="1:14" ht="15" thickBot="1" x14ac:dyDescent="0.35">
      <c r="A213" s="6" t="s">
        <v>159</v>
      </c>
      <c r="B213" s="7" t="s">
        <v>14</v>
      </c>
      <c r="C213" s="8">
        <v>45930</v>
      </c>
      <c r="D213" s="7" t="s">
        <v>26</v>
      </c>
      <c r="E213" s="7" t="s">
        <v>16</v>
      </c>
      <c r="F213" s="7" t="s">
        <v>17</v>
      </c>
      <c r="G213" s="9">
        <v>8269</v>
      </c>
      <c r="H213" s="9">
        <v>250</v>
      </c>
      <c r="I213" s="9">
        <v>638</v>
      </c>
      <c r="J213" s="9">
        <v>815</v>
      </c>
      <c r="K213" s="10">
        <v>41991</v>
      </c>
      <c r="L213" s="9">
        <v>129393</v>
      </c>
      <c r="M213" s="6" t="s">
        <v>23</v>
      </c>
      <c r="N213" s="11">
        <f t="shared" si="4"/>
        <v>7.0768897853825175E-2</v>
      </c>
    </row>
    <row r="214" spans="1:14" ht="15" thickBot="1" x14ac:dyDescent="0.35">
      <c r="A214" s="6" t="s">
        <v>301</v>
      </c>
      <c r="B214" s="7" t="s">
        <v>14</v>
      </c>
      <c r="C214" s="8">
        <v>45753</v>
      </c>
      <c r="D214" s="7" t="s">
        <v>39</v>
      </c>
      <c r="E214" s="7" t="s">
        <v>32</v>
      </c>
      <c r="F214" s="7" t="s">
        <v>57</v>
      </c>
      <c r="G214" s="9">
        <v>15917</v>
      </c>
      <c r="H214" s="9">
        <v>1479</v>
      </c>
      <c r="I214" s="9">
        <v>196</v>
      </c>
      <c r="J214" s="9">
        <v>313</v>
      </c>
      <c r="K214" s="10">
        <v>48524</v>
      </c>
      <c r="L214" s="9">
        <v>249684</v>
      </c>
      <c r="M214" s="6" t="s">
        <v>34</v>
      </c>
      <c r="N214" s="11">
        <f t="shared" si="4"/>
        <v>7.0457057720959296E-2</v>
      </c>
    </row>
    <row r="215" spans="1:14" ht="15" thickBot="1" x14ac:dyDescent="0.35">
      <c r="A215" s="6" t="s">
        <v>335</v>
      </c>
      <c r="B215" s="7" t="s">
        <v>25</v>
      </c>
      <c r="C215" s="8">
        <v>45602</v>
      </c>
      <c r="D215" s="7" t="s">
        <v>15</v>
      </c>
      <c r="E215" s="7" t="s">
        <v>40</v>
      </c>
      <c r="F215" s="7" t="s">
        <v>41</v>
      </c>
      <c r="G215" s="9">
        <v>11865</v>
      </c>
      <c r="H215" s="9">
        <v>241</v>
      </c>
      <c r="I215" s="9">
        <v>319</v>
      </c>
      <c r="J215" s="9">
        <v>703</v>
      </c>
      <c r="K215" s="10">
        <v>69596</v>
      </c>
      <c r="L215" s="9">
        <v>177513</v>
      </c>
      <c r="M215" s="6" t="s">
        <v>34</v>
      </c>
      <c r="N215" s="11">
        <f t="shared" si="4"/>
        <v>6.999487361489018E-2</v>
      </c>
    </row>
    <row r="216" spans="1:14" ht="15" thickBot="1" x14ac:dyDescent="0.35">
      <c r="A216" s="6" t="s">
        <v>343</v>
      </c>
      <c r="B216" s="7" t="s">
        <v>25</v>
      </c>
      <c r="C216" s="8">
        <v>45925</v>
      </c>
      <c r="D216" s="7" t="s">
        <v>39</v>
      </c>
      <c r="E216" s="7" t="s">
        <v>62</v>
      </c>
      <c r="F216" s="7" t="s">
        <v>37</v>
      </c>
      <c r="G216" s="9">
        <v>12568</v>
      </c>
      <c r="H216" s="9">
        <v>541</v>
      </c>
      <c r="I216" s="9">
        <v>273</v>
      </c>
      <c r="J216" s="9">
        <v>2767</v>
      </c>
      <c r="K216" s="10">
        <v>22331</v>
      </c>
      <c r="L216" s="9">
        <v>192747</v>
      </c>
      <c r="M216" s="6" t="s">
        <v>23</v>
      </c>
      <c r="N216" s="11">
        <f t="shared" si="4"/>
        <v>6.9427799135654514E-2</v>
      </c>
    </row>
    <row r="217" spans="1:14" ht="15" thickBot="1" x14ac:dyDescent="0.35">
      <c r="A217" s="6" t="s">
        <v>87</v>
      </c>
      <c r="B217" s="7" t="s">
        <v>20</v>
      </c>
      <c r="C217" s="8">
        <v>45917</v>
      </c>
      <c r="D217" s="7" t="s">
        <v>26</v>
      </c>
      <c r="E217" s="7" t="s">
        <v>40</v>
      </c>
      <c r="F217" s="7" t="s">
        <v>41</v>
      </c>
      <c r="G217" s="9">
        <v>15456</v>
      </c>
      <c r="H217" s="9">
        <v>590</v>
      </c>
      <c r="I217" s="9">
        <v>555</v>
      </c>
      <c r="J217" s="9">
        <v>2882</v>
      </c>
      <c r="K217" s="10">
        <v>49816</v>
      </c>
      <c r="L217" s="9">
        <v>240422</v>
      </c>
      <c r="M217" s="6" t="s">
        <v>23</v>
      </c>
      <c r="N217" s="11">
        <f t="shared" si="4"/>
        <v>6.9049421433978589E-2</v>
      </c>
    </row>
    <row r="218" spans="1:14" ht="15" thickBot="1" x14ac:dyDescent="0.35">
      <c r="A218" s="6" t="s">
        <v>79</v>
      </c>
      <c r="B218" s="7" t="s">
        <v>20</v>
      </c>
      <c r="C218" s="8">
        <v>45663</v>
      </c>
      <c r="D218" s="7" t="s">
        <v>15</v>
      </c>
      <c r="E218" s="7" t="s">
        <v>27</v>
      </c>
      <c r="F218" s="7" t="s">
        <v>28</v>
      </c>
      <c r="G218" s="9">
        <v>11860</v>
      </c>
      <c r="H218" s="9">
        <v>1448</v>
      </c>
      <c r="I218" s="9">
        <v>893</v>
      </c>
      <c r="J218" s="9">
        <v>490</v>
      </c>
      <c r="K218" s="10">
        <v>23518</v>
      </c>
      <c r="L218" s="9">
        <v>206205</v>
      </c>
      <c r="M218" s="6" t="s">
        <v>18</v>
      </c>
      <c r="N218" s="11">
        <f t="shared" si="4"/>
        <v>6.8868359157149436E-2</v>
      </c>
    </row>
    <row r="219" spans="1:14" ht="15" thickBot="1" x14ac:dyDescent="0.35">
      <c r="A219" s="6" t="s">
        <v>206</v>
      </c>
      <c r="B219" s="7" t="s">
        <v>25</v>
      </c>
      <c r="C219" s="8">
        <v>45748</v>
      </c>
      <c r="D219" s="7" t="s">
        <v>15</v>
      </c>
      <c r="E219" s="7" t="s">
        <v>40</v>
      </c>
      <c r="F219" s="7" t="s">
        <v>41</v>
      </c>
      <c r="G219" s="9">
        <v>6432</v>
      </c>
      <c r="H219" s="9">
        <v>1272</v>
      </c>
      <c r="I219" s="9">
        <v>498</v>
      </c>
      <c r="J219" s="9">
        <v>677</v>
      </c>
      <c r="K219" s="10">
        <v>47305</v>
      </c>
      <c r="L219" s="9">
        <v>119134</v>
      </c>
      <c r="M219" s="6" t="s">
        <v>18</v>
      </c>
      <c r="N219" s="11">
        <f t="shared" si="4"/>
        <v>6.8846844729464299E-2</v>
      </c>
    </row>
    <row r="220" spans="1:14" ht="15" thickBot="1" x14ac:dyDescent="0.35">
      <c r="A220" s="6" t="s">
        <v>323</v>
      </c>
      <c r="B220" s="7" t="s">
        <v>25</v>
      </c>
      <c r="C220" s="8">
        <v>45537</v>
      </c>
      <c r="D220" s="7" t="s">
        <v>31</v>
      </c>
      <c r="E220" s="7" t="s">
        <v>32</v>
      </c>
      <c r="F220" s="7" t="s">
        <v>33</v>
      </c>
      <c r="G220" s="9">
        <v>11765</v>
      </c>
      <c r="H220" s="9">
        <v>693</v>
      </c>
      <c r="I220" s="9">
        <v>729</v>
      </c>
      <c r="J220" s="9">
        <v>744</v>
      </c>
      <c r="K220" s="10">
        <v>97772</v>
      </c>
      <c r="L220" s="9">
        <v>194243</v>
      </c>
      <c r="M220" s="6" t="s">
        <v>18</v>
      </c>
      <c r="N220" s="11">
        <f t="shared" si="4"/>
        <v>6.7889190344053579E-2</v>
      </c>
    </row>
    <row r="221" spans="1:14" ht="15" thickBot="1" x14ac:dyDescent="0.35">
      <c r="A221" s="6" t="s">
        <v>285</v>
      </c>
      <c r="B221" s="7" t="s">
        <v>47</v>
      </c>
      <c r="C221" s="8">
        <v>45675</v>
      </c>
      <c r="D221" s="7" t="s">
        <v>26</v>
      </c>
      <c r="E221" s="7" t="s">
        <v>62</v>
      </c>
      <c r="F221" s="7" t="s">
        <v>37</v>
      </c>
      <c r="G221" s="9">
        <v>12589</v>
      </c>
      <c r="H221" s="9">
        <v>346</v>
      </c>
      <c r="I221" s="9">
        <v>459</v>
      </c>
      <c r="J221" s="9">
        <v>1407</v>
      </c>
      <c r="K221" s="10">
        <v>29254</v>
      </c>
      <c r="L221" s="9">
        <v>198059</v>
      </c>
      <c r="M221" s="6" t="s">
        <v>29</v>
      </c>
      <c r="N221" s="11">
        <f t="shared" si="4"/>
        <v>6.7626313371268162E-2</v>
      </c>
    </row>
    <row r="222" spans="1:14" ht="15" thickBot="1" x14ac:dyDescent="0.35">
      <c r="A222" s="6" t="s">
        <v>155</v>
      </c>
      <c r="B222" s="7" t="s">
        <v>20</v>
      </c>
      <c r="C222" s="8">
        <v>45619</v>
      </c>
      <c r="D222" s="7" t="s">
        <v>26</v>
      </c>
      <c r="E222" s="7" t="s">
        <v>37</v>
      </c>
      <c r="F222" s="7"/>
      <c r="G222" s="9">
        <v>9941</v>
      </c>
      <c r="H222" s="9">
        <v>1329</v>
      </c>
      <c r="I222" s="9">
        <v>238</v>
      </c>
      <c r="J222" s="9">
        <v>869</v>
      </c>
      <c r="K222" s="10">
        <v>40281</v>
      </c>
      <c r="L222" s="9">
        <v>172311</v>
      </c>
      <c r="M222" s="6" t="s">
        <v>29</v>
      </c>
      <c r="N222" s="11">
        <f t="shared" si="4"/>
        <v>6.6786217943137702E-2</v>
      </c>
    </row>
    <row r="223" spans="1:14" ht="15" thickBot="1" x14ac:dyDescent="0.35">
      <c r="A223" s="6" t="s">
        <v>143</v>
      </c>
      <c r="B223" s="7" t="s">
        <v>47</v>
      </c>
      <c r="C223" s="8">
        <v>45475</v>
      </c>
      <c r="D223" s="7" t="s">
        <v>39</v>
      </c>
      <c r="E223" s="7" t="s">
        <v>40</v>
      </c>
      <c r="F223" s="7" t="s">
        <v>41</v>
      </c>
      <c r="G223" s="9">
        <v>12320</v>
      </c>
      <c r="H223" s="9">
        <v>1157</v>
      </c>
      <c r="I223" s="9">
        <v>365</v>
      </c>
      <c r="J223" s="9">
        <v>584</v>
      </c>
      <c r="K223" s="10">
        <v>66634</v>
      </c>
      <c r="L223" s="9">
        <v>210102</v>
      </c>
      <c r="M223" s="6" t="s">
        <v>34</v>
      </c>
      <c r="N223" s="11">
        <f t="shared" si="4"/>
        <v>6.5882285746922925E-2</v>
      </c>
    </row>
    <row r="224" spans="1:14" ht="15" thickBot="1" x14ac:dyDescent="0.35">
      <c r="A224" s="6" t="s">
        <v>266</v>
      </c>
      <c r="B224" s="7" t="s">
        <v>14</v>
      </c>
      <c r="C224" s="8">
        <v>45573</v>
      </c>
      <c r="D224" s="7" t="s">
        <v>26</v>
      </c>
      <c r="E224" s="7" t="s">
        <v>71</v>
      </c>
      <c r="F224" s="7"/>
      <c r="G224" s="9">
        <v>8738</v>
      </c>
      <c r="H224" s="9">
        <v>295</v>
      </c>
      <c r="I224" s="9">
        <v>529</v>
      </c>
      <c r="J224" s="9">
        <v>442</v>
      </c>
      <c r="K224" s="10">
        <v>25286</v>
      </c>
      <c r="L224" s="9">
        <v>147522</v>
      </c>
      <c r="M224" s="6" t="s">
        <v>34</v>
      </c>
      <c r="N224" s="11">
        <f t="shared" si="4"/>
        <v>6.4817450956467515E-2</v>
      </c>
    </row>
    <row r="225" spans="1:14" ht="15" thickBot="1" x14ac:dyDescent="0.35">
      <c r="A225" s="6" t="s">
        <v>96</v>
      </c>
      <c r="B225" s="7" t="s">
        <v>20</v>
      </c>
      <c r="C225" s="8">
        <v>45729</v>
      </c>
      <c r="D225" s="7" t="s">
        <v>39</v>
      </c>
      <c r="E225" s="7" t="s">
        <v>27</v>
      </c>
      <c r="F225" s="7" t="s">
        <v>28</v>
      </c>
      <c r="G225" s="9">
        <v>6544</v>
      </c>
      <c r="H225" s="9">
        <v>749</v>
      </c>
      <c r="I225" s="9">
        <v>888</v>
      </c>
      <c r="J225" s="9">
        <v>594</v>
      </c>
      <c r="K225" s="10">
        <v>18171</v>
      </c>
      <c r="L225" s="9">
        <v>126475</v>
      </c>
      <c r="M225" s="6" t="s">
        <v>29</v>
      </c>
      <c r="N225" s="11">
        <f t="shared" si="4"/>
        <v>6.4684720300454635E-2</v>
      </c>
    </row>
    <row r="226" spans="1:14" ht="15" thickBot="1" x14ac:dyDescent="0.35">
      <c r="A226" s="6" t="s">
        <v>262</v>
      </c>
      <c r="B226" s="7" t="s">
        <v>25</v>
      </c>
      <c r="C226" s="8">
        <v>45454</v>
      </c>
      <c r="D226" s="7" t="s">
        <v>31</v>
      </c>
      <c r="E226" s="7" t="s">
        <v>71</v>
      </c>
      <c r="F226" s="7"/>
      <c r="G226" s="9">
        <v>14910</v>
      </c>
      <c r="H226" s="9">
        <v>778</v>
      </c>
      <c r="I226" s="9">
        <v>289</v>
      </c>
      <c r="J226" s="9">
        <v>2541</v>
      </c>
      <c r="K226" s="10">
        <v>14309</v>
      </c>
      <c r="L226" s="9">
        <v>247815</v>
      </c>
      <c r="M226" s="6" t="s">
        <v>29</v>
      </c>
      <c r="N226" s="11">
        <f t="shared" si="4"/>
        <v>6.4471480741682297E-2</v>
      </c>
    </row>
    <row r="227" spans="1:14" ht="15" thickBot="1" x14ac:dyDescent="0.35">
      <c r="A227" s="6" t="s">
        <v>198</v>
      </c>
      <c r="B227" s="7" t="s">
        <v>14</v>
      </c>
      <c r="C227" s="8">
        <v>45574</v>
      </c>
      <c r="D227" s="7" t="s">
        <v>31</v>
      </c>
      <c r="E227" s="7" t="s">
        <v>48</v>
      </c>
      <c r="F227" s="7" t="s">
        <v>32</v>
      </c>
      <c r="G227" s="9">
        <v>7240</v>
      </c>
      <c r="H227" s="9">
        <v>1384</v>
      </c>
      <c r="I227" s="9">
        <v>954</v>
      </c>
      <c r="J227" s="9">
        <v>2335</v>
      </c>
      <c r="K227" s="10">
        <v>6757</v>
      </c>
      <c r="L227" s="9">
        <v>150448</v>
      </c>
      <c r="M227" s="6" t="s">
        <v>29</v>
      </c>
      <c r="N227" s="11">
        <f t="shared" si="4"/>
        <v>6.3663192598106988E-2</v>
      </c>
    </row>
    <row r="228" spans="1:14" ht="15" thickBot="1" x14ac:dyDescent="0.35">
      <c r="A228" s="6" t="s">
        <v>254</v>
      </c>
      <c r="B228" s="7" t="s">
        <v>25</v>
      </c>
      <c r="C228" s="8">
        <v>45707</v>
      </c>
      <c r="D228" s="7" t="s">
        <v>31</v>
      </c>
      <c r="E228" s="7" t="s">
        <v>48</v>
      </c>
      <c r="F228" s="7" t="s">
        <v>32</v>
      </c>
      <c r="G228" s="9">
        <v>8168</v>
      </c>
      <c r="H228" s="9">
        <v>512</v>
      </c>
      <c r="I228" s="9">
        <v>442</v>
      </c>
      <c r="J228" s="9">
        <v>2343</v>
      </c>
      <c r="K228" s="10">
        <v>2753</v>
      </c>
      <c r="L228" s="9">
        <v>143896</v>
      </c>
      <c r="M228" s="6" t="s">
        <v>52</v>
      </c>
      <c r="N228" s="11">
        <f t="shared" si="4"/>
        <v>6.3393006059932172E-2</v>
      </c>
    </row>
    <row r="229" spans="1:14" ht="15" thickBot="1" x14ac:dyDescent="0.35">
      <c r="A229" s="6" t="s">
        <v>193</v>
      </c>
      <c r="B229" s="7" t="s">
        <v>25</v>
      </c>
      <c r="C229" s="8">
        <v>45459</v>
      </c>
      <c r="D229" s="7" t="s">
        <v>26</v>
      </c>
      <c r="E229" s="7" t="s">
        <v>16</v>
      </c>
      <c r="F229" s="7" t="s">
        <v>17</v>
      </c>
      <c r="G229" s="9">
        <v>12160</v>
      </c>
      <c r="H229" s="9">
        <v>1405</v>
      </c>
      <c r="I229" s="9">
        <v>769</v>
      </c>
      <c r="J229" s="9">
        <v>1980</v>
      </c>
      <c r="K229" s="10">
        <v>33174</v>
      </c>
      <c r="L229" s="9">
        <v>226481</v>
      </c>
      <c r="M229" s="6" t="s">
        <v>18</v>
      </c>
      <c r="N229" s="11">
        <f t="shared" si="4"/>
        <v>6.329007731332871E-2</v>
      </c>
    </row>
    <row r="230" spans="1:14" ht="15" thickBot="1" x14ac:dyDescent="0.35">
      <c r="A230" s="6" t="s">
        <v>339</v>
      </c>
      <c r="B230" s="7" t="s">
        <v>47</v>
      </c>
      <c r="C230" s="8">
        <v>45783</v>
      </c>
      <c r="D230" s="7" t="s">
        <v>39</v>
      </c>
      <c r="E230" s="7" t="s">
        <v>16</v>
      </c>
      <c r="F230" s="7" t="s">
        <v>17</v>
      </c>
      <c r="G230" s="9">
        <v>7287</v>
      </c>
      <c r="H230" s="9">
        <v>1240</v>
      </c>
      <c r="I230" s="9">
        <v>686</v>
      </c>
      <c r="J230" s="9">
        <v>1255</v>
      </c>
      <c r="K230" s="10">
        <v>15403</v>
      </c>
      <c r="L230" s="9">
        <v>147971</v>
      </c>
      <c r="M230" s="6" t="s">
        <v>18</v>
      </c>
      <c r="N230" s="11">
        <f t="shared" si="4"/>
        <v>6.2262200025680704E-2</v>
      </c>
    </row>
    <row r="231" spans="1:14" ht="15" thickBot="1" x14ac:dyDescent="0.35">
      <c r="A231" s="6" t="s">
        <v>129</v>
      </c>
      <c r="B231" s="7" t="s">
        <v>14</v>
      </c>
      <c r="C231" s="8">
        <v>45766</v>
      </c>
      <c r="D231" s="7" t="s">
        <v>15</v>
      </c>
      <c r="E231" s="7" t="s">
        <v>40</v>
      </c>
      <c r="F231" s="7" t="s">
        <v>41</v>
      </c>
      <c r="G231" s="9">
        <v>8881</v>
      </c>
      <c r="H231" s="9">
        <v>210</v>
      </c>
      <c r="I231" s="9">
        <v>673</v>
      </c>
      <c r="J231" s="9">
        <v>1565</v>
      </c>
      <c r="K231" s="10">
        <v>24847</v>
      </c>
      <c r="L231" s="9">
        <v>156891</v>
      </c>
      <c r="M231" s="6" t="s">
        <v>29</v>
      </c>
      <c r="N231" s="11">
        <f t="shared" si="4"/>
        <v>6.223429004850501E-2</v>
      </c>
    </row>
    <row r="232" spans="1:14" ht="15" thickBot="1" x14ac:dyDescent="0.35">
      <c r="A232" s="6" t="s">
        <v>200</v>
      </c>
      <c r="B232" s="7" t="s">
        <v>47</v>
      </c>
      <c r="C232" s="8">
        <v>45587</v>
      </c>
      <c r="D232" s="7" t="s">
        <v>26</v>
      </c>
      <c r="E232" s="7" t="s">
        <v>40</v>
      </c>
      <c r="F232" s="7" t="s">
        <v>41</v>
      </c>
      <c r="G232" s="9">
        <v>12478</v>
      </c>
      <c r="H232" s="9">
        <v>484</v>
      </c>
      <c r="I232" s="9">
        <v>332</v>
      </c>
      <c r="J232" s="9">
        <v>2734</v>
      </c>
      <c r="K232" s="10">
        <v>43338</v>
      </c>
      <c r="L232" s="9">
        <v>213895</v>
      </c>
      <c r="M232" s="6" t="s">
        <v>34</v>
      </c>
      <c r="N232" s="11">
        <f t="shared" si="4"/>
        <v>6.2151990462610156E-2</v>
      </c>
    </row>
    <row r="233" spans="1:14" ht="15" thickBot="1" x14ac:dyDescent="0.35">
      <c r="A233" s="6" t="s">
        <v>314</v>
      </c>
      <c r="B233" s="7" t="s">
        <v>14</v>
      </c>
      <c r="C233" s="8">
        <v>45672</v>
      </c>
      <c r="D233" s="7" t="s">
        <v>26</v>
      </c>
      <c r="E233" s="7" t="s">
        <v>21</v>
      </c>
      <c r="F233" s="7" t="s">
        <v>22</v>
      </c>
      <c r="G233" s="9">
        <v>11333</v>
      </c>
      <c r="H233" s="9">
        <v>920</v>
      </c>
      <c r="I233" s="9">
        <v>294</v>
      </c>
      <c r="J233" s="9">
        <v>606</v>
      </c>
      <c r="K233" s="10">
        <v>59490</v>
      </c>
      <c r="L233" s="9">
        <v>202082</v>
      </c>
      <c r="M233" s="6" t="s">
        <v>29</v>
      </c>
      <c r="N233" s="11">
        <f t="shared" si="4"/>
        <v>6.2088657079799291E-2</v>
      </c>
    </row>
    <row r="234" spans="1:14" ht="15" thickBot="1" x14ac:dyDescent="0.35">
      <c r="A234" s="6" t="s">
        <v>213</v>
      </c>
      <c r="B234" s="7" t="s">
        <v>14</v>
      </c>
      <c r="C234" s="8">
        <v>45629</v>
      </c>
      <c r="D234" s="7" t="s">
        <v>15</v>
      </c>
      <c r="E234" s="7" t="s">
        <v>40</v>
      </c>
      <c r="F234" s="7" t="s">
        <v>41</v>
      </c>
      <c r="G234" s="9">
        <v>2055</v>
      </c>
      <c r="H234" s="9">
        <v>675</v>
      </c>
      <c r="I234" s="9">
        <v>257</v>
      </c>
      <c r="J234" s="9">
        <v>820</v>
      </c>
      <c r="K234" s="10">
        <v>33534</v>
      </c>
      <c r="L234" s="9">
        <v>48125</v>
      </c>
      <c r="M234" s="6" t="s">
        <v>18</v>
      </c>
      <c r="N234" s="11">
        <f t="shared" si="4"/>
        <v>6.2067532467532466E-2</v>
      </c>
    </row>
    <row r="235" spans="1:14" ht="15" thickBot="1" x14ac:dyDescent="0.35">
      <c r="A235" s="6" t="s">
        <v>125</v>
      </c>
      <c r="B235" s="7" t="s">
        <v>14</v>
      </c>
      <c r="C235" s="8">
        <v>45584</v>
      </c>
      <c r="D235" s="7" t="s">
        <v>39</v>
      </c>
      <c r="E235" s="7" t="s">
        <v>32</v>
      </c>
      <c r="F235" s="7" t="s">
        <v>33</v>
      </c>
      <c r="G235" s="9">
        <v>6673</v>
      </c>
      <c r="H235" s="9">
        <v>826</v>
      </c>
      <c r="I235" s="9">
        <v>321</v>
      </c>
      <c r="J235" s="9">
        <v>577</v>
      </c>
      <c r="K235" s="10">
        <v>19262</v>
      </c>
      <c r="L235" s="9">
        <v>132324</v>
      </c>
      <c r="M235" s="6" t="s">
        <v>52</v>
      </c>
      <c r="N235" s="11">
        <f t="shared" si="4"/>
        <v>5.9097367068710133E-2</v>
      </c>
    </row>
    <row r="236" spans="1:14" ht="15" thickBot="1" x14ac:dyDescent="0.35">
      <c r="A236" s="6" t="s">
        <v>90</v>
      </c>
      <c r="B236" s="7" t="s">
        <v>14</v>
      </c>
      <c r="C236" s="8">
        <v>45727</v>
      </c>
      <c r="D236" s="7" t="s">
        <v>39</v>
      </c>
      <c r="E236" s="7" t="s">
        <v>16</v>
      </c>
      <c r="F236" s="7" t="s">
        <v>17</v>
      </c>
      <c r="G236" s="9">
        <v>7997</v>
      </c>
      <c r="H236" s="9">
        <v>1238</v>
      </c>
      <c r="I236" s="9">
        <v>438</v>
      </c>
      <c r="J236" s="9">
        <v>1874</v>
      </c>
      <c r="K236" s="10">
        <v>36272</v>
      </c>
      <c r="L236" s="9">
        <v>165818</v>
      </c>
      <c r="M236" s="6" t="s">
        <v>52</v>
      </c>
      <c r="N236" s="11">
        <f t="shared" si="4"/>
        <v>5.8335042034037318E-2</v>
      </c>
    </row>
    <row r="237" spans="1:14" ht="15" thickBot="1" x14ac:dyDescent="0.35">
      <c r="A237" s="6" t="s">
        <v>54</v>
      </c>
      <c r="B237" s="7" t="s">
        <v>20</v>
      </c>
      <c r="C237" s="8">
        <v>45907</v>
      </c>
      <c r="D237" s="7" t="s">
        <v>26</v>
      </c>
      <c r="E237" s="7" t="s">
        <v>27</v>
      </c>
      <c r="F237" s="7" t="s">
        <v>28</v>
      </c>
      <c r="G237" s="9">
        <v>3015</v>
      </c>
      <c r="H237" s="9">
        <v>997</v>
      </c>
      <c r="I237" s="9">
        <v>783</v>
      </c>
      <c r="J237" s="9">
        <v>617</v>
      </c>
      <c r="K237" s="10">
        <v>77167</v>
      </c>
      <c r="L237" s="9">
        <v>82229</v>
      </c>
      <c r="M237" s="6" t="s">
        <v>23</v>
      </c>
      <c r="N237" s="11">
        <f t="shared" si="4"/>
        <v>5.8312760704860814E-2</v>
      </c>
    </row>
    <row r="238" spans="1:14" ht="15" thickBot="1" x14ac:dyDescent="0.35">
      <c r="A238" s="6" t="s">
        <v>332</v>
      </c>
      <c r="B238" s="7" t="s">
        <v>25</v>
      </c>
      <c r="C238" s="8">
        <v>45764</v>
      </c>
      <c r="D238" s="7" t="s">
        <v>26</v>
      </c>
      <c r="E238" s="7" t="s">
        <v>43</v>
      </c>
      <c r="F238" s="7" t="s">
        <v>44</v>
      </c>
      <c r="G238" s="9">
        <v>2009</v>
      </c>
      <c r="H238" s="9">
        <v>1037</v>
      </c>
      <c r="I238" s="9">
        <v>344</v>
      </c>
      <c r="J238" s="9">
        <v>2277</v>
      </c>
      <c r="K238" s="10">
        <v>85743</v>
      </c>
      <c r="L238" s="9">
        <v>58743</v>
      </c>
      <c r="M238" s="6" t="s">
        <v>34</v>
      </c>
      <c r="N238" s="11">
        <f t="shared" si="4"/>
        <v>5.7709003625963942E-2</v>
      </c>
    </row>
    <row r="239" spans="1:14" ht="15" thickBot="1" x14ac:dyDescent="0.35">
      <c r="A239" s="6" t="s">
        <v>74</v>
      </c>
      <c r="B239" s="7" t="s">
        <v>25</v>
      </c>
      <c r="C239" s="8">
        <v>45504</v>
      </c>
      <c r="D239" s="7" t="s">
        <v>15</v>
      </c>
      <c r="E239" s="7" t="s">
        <v>32</v>
      </c>
      <c r="F239" s="7" t="s">
        <v>57</v>
      </c>
      <c r="G239" s="9">
        <v>2404</v>
      </c>
      <c r="H239" s="9">
        <v>774</v>
      </c>
      <c r="I239" s="9">
        <v>661</v>
      </c>
      <c r="J239" s="9">
        <v>662</v>
      </c>
      <c r="K239" s="10">
        <v>12676</v>
      </c>
      <c r="L239" s="9">
        <v>66916</v>
      </c>
      <c r="M239" s="6" t="s">
        <v>18</v>
      </c>
      <c r="N239" s="11">
        <f t="shared" si="4"/>
        <v>5.7370434574690654E-2</v>
      </c>
    </row>
    <row r="240" spans="1:14" ht="15" thickBot="1" x14ac:dyDescent="0.35">
      <c r="A240" s="6" t="s">
        <v>177</v>
      </c>
      <c r="B240" s="7" t="s">
        <v>25</v>
      </c>
      <c r="C240" s="8">
        <v>45694</v>
      </c>
      <c r="D240" s="7" t="s">
        <v>15</v>
      </c>
      <c r="E240" s="7" t="s">
        <v>16</v>
      </c>
      <c r="F240" s="7" t="s">
        <v>17</v>
      </c>
      <c r="G240" s="9">
        <v>2666</v>
      </c>
      <c r="H240" s="9">
        <v>1136</v>
      </c>
      <c r="I240" s="9">
        <v>989</v>
      </c>
      <c r="J240" s="9">
        <v>1710</v>
      </c>
      <c r="K240" s="10">
        <v>36467</v>
      </c>
      <c r="L240" s="9">
        <v>83753</v>
      </c>
      <c r="M240" s="6" t="s">
        <v>29</v>
      </c>
      <c r="N240" s="11">
        <f t="shared" si="4"/>
        <v>5.7203921053574198E-2</v>
      </c>
    </row>
    <row r="241" spans="1:14" ht="15" thickBot="1" x14ac:dyDescent="0.35">
      <c r="A241" s="6" t="s">
        <v>69</v>
      </c>
      <c r="B241" s="7" t="s">
        <v>47</v>
      </c>
      <c r="C241" s="8">
        <v>45720</v>
      </c>
      <c r="D241" s="7" t="s">
        <v>26</v>
      </c>
      <c r="E241" s="7" t="s">
        <v>37</v>
      </c>
      <c r="F241" s="7"/>
      <c r="G241" s="9">
        <v>12344</v>
      </c>
      <c r="H241" s="9">
        <v>815</v>
      </c>
      <c r="I241" s="9">
        <v>298</v>
      </c>
      <c r="J241" s="9">
        <v>2439</v>
      </c>
      <c r="K241" s="10">
        <v>6259</v>
      </c>
      <c r="L241" s="9">
        <v>237133</v>
      </c>
      <c r="M241" s="6" t="s">
        <v>34</v>
      </c>
      <c r="N241" s="11">
        <f t="shared" si="4"/>
        <v>5.6748744375519224E-2</v>
      </c>
    </row>
    <row r="242" spans="1:14" ht="15" thickBot="1" x14ac:dyDescent="0.35">
      <c r="A242" s="6" t="s">
        <v>140</v>
      </c>
      <c r="B242" s="7" t="s">
        <v>47</v>
      </c>
      <c r="C242" s="8">
        <v>45545</v>
      </c>
      <c r="D242" s="7" t="s">
        <v>39</v>
      </c>
      <c r="E242" s="7" t="s">
        <v>43</v>
      </c>
      <c r="F242" s="7" t="s">
        <v>44</v>
      </c>
      <c r="G242" s="9">
        <v>6637</v>
      </c>
      <c r="H242" s="9">
        <v>595</v>
      </c>
      <c r="I242" s="9">
        <v>161</v>
      </c>
      <c r="J242" s="9">
        <v>2653</v>
      </c>
      <c r="K242" s="10">
        <v>19334</v>
      </c>
      <c r="L242" s="9">
        <v>131155</v>
      </c>
      <c r="M242" s="6" t="s">
        <v>29</v>
      </c>
      <c r="N242" s="11">
        <f t="shared" si="4"/>
        <v>5.6368419046166747E-2</v>
      </c>
    </row>
    <row r="243" spans="1:14" ht="15" thickBot="1" x14ac:dyDescent="0.35">
      <c r="A243" s="6" t="s">
        <v>131</v>
      </c>
      <c r="B243" s="7" t="s">
        <v>47</v>
      </c>
      <c r="C243" s="8">
        <v>45449</v>
      </c>
      <c r="D243" s="7" t="s">
        <v>26</v>
      </c>
      <c r="E243" s="7" t="s">
        <v>48</v>
      </c>
      <c r="F243" s="7" t="s">
        <v>32</v>
      </c>
      <c r="G243" s="9">
        <v>11521</v>
      </c>
      <c r="H243" s="9">
        <v>1071</v>
      </c>
      <c r="I243" s="9">
        <v>762</v>
      </c>
      <c r="J243" s="9">
        <v>2539</v>
      </c>
      <c r="K243" s="10">
        <v>12701</v>
      </c>
      <c r="L243" s="9">
        <v>238350</v>
      </c>
      <c r="M243" s="6" t="s">
        <v>29</v>
      </c>
      <c r="N243" s="11">
        <f t="shared" si="4"/>
        <v>5.6026851269142017E-2</v>
      </c>
    </row>
    <row r="244" spans="1:14" ht="15" thickBot="1" x14ac:dyDescent="0.35">
      <c r="A244" s="6" t="s">
        <v>91</v>
      </c>
      <c r="B244" s="7" t="s">
        <v>47</v>
      </c>
      <c r="C244" s="8">
        <v>45918</v>
      </c>
      <c r="D244" s="7" t="s">
        <v>39</v>
      </c>
      <c r="E244" s="7" t="s">
        <v>32</v>
      </c>
      <c r="F244" s="7" t="s">
        <v>57</v>
      </c>
      <c r="G244" s="9">
        <v>4048</v>
      </c>
      <c r="H244" s="9">
        <v>677</v>
      </c>
      <c r="I244" s="9">
        <v>911</v>
      </c>
      <c r="J244" s="9">
        <v>2429</v>
      </c>
      <c r="K244" s="10">
        <v>27361</v>
      </c>
      <c r="L244" s="9">
        <v>101272</v>
      </c>
      <c r="M244" s="6" t="s">
        <v>23</v>
      </c>
      <c r="N244" s="11">
        <f t="shared" si="4"/>
        <v>5.5652105221581483E-2</v>
      </c>
    </row>
    <row r="245" spans="1:14" ht="15" thickBot="1" x14ac:dyDescent="0.35">
      <c r="A245" s="6" t="s">
        <v>60</v>
      </c>
      <c r="B245" s="7" t="s">
        <v>14</v>
      </c>
      <c r="C245" s="8">
        <v>45544</v>
      </c>
      <c r="D245" s="7" t="s">
        <v>31</v>
      </c>
      <c r="E245" s="7" t="s">
        <v>27</v>
      </c>
      <c r="F245" s="7" t="s">
        <v>28</v>
      </c>
      <c r="G245" s="9">
        <v>6158</v>
      </c>
      <c r="H245" s="9">
        <v>277</v>
      </c>
      <c r="I245" s="9">
        <v>512</v>
      </c>
      <c r="J245" s="9">
        <v>2189</v>
      </c>
      <c r="K245" s="10">
        <v>76881</v>
      </c>
      <c r="L245" s="9">
        <v>124878</v>
      </c>
      <c r="M245" s="6" t="s">
        <v>34</v>
      </c>
      <c r="N245" s="11">
        <f t="shared" si="4"/>
        <v>5.563029516808405E-2</v>
      </c>
    </row>
    <row r="246" spans="1:14" ht="15" thickBot="1" x14ac:dyDescent="0.35">
      <c r="A246" s="6" t="s">
        <v>146</v>
      </c>
      <c r="B246" s="7" t="s">
        <v>47</v>
      </c>
      <c r="C246" s="8">
        <v>45926</v>
      </c>
      <c r="D246" s="7" t="s">
        <v>39</v>
      </c>
      <c r="E246" s="7" t="s">
        <v>37</v>
      </c>
      <c r="F246" s="7"/>
      <c r="G246" s="9">
        <v>9043</v>
      </c>
      <c r="H246" s="9">
        <v>1192</v>
      </c>
      <c r="I246" s="9">
        <v>810</v>
      </c>
      <c r="J246" s="9">
        <v>1550</v>
      </c>
      <c r="K246" s="10">
        <v>5221</v>
      </c>
      <c r="L246" s="9">
        <v>199476</v>
      </c>
      <c r="M246" s="6" t="s">
        <v>23</v>
      </c>
      <c r="N246" s="11">
        <f t="shared" si="4"/>
        <v>5.5370069582305642E-2</v>
      </c>
    </row>
    <row r="247" spans="1:14" ht="15" thickBot="1" x14ac:dyDescent="0.35">
      <c r="A247" s="6" t="s">
        <v>111</v>
      </c>
      <c r="B247" s="7" t="s">
        <v>20</v>
      </c>
      <c r="C247" s="8">
        <v>45724</v>
      </c>
      <c r="D247" s="7" t="s">
        <v>26</v>
      </c>
      <c r="E247" s="7" t="s">
        <v>43</v>
      </c>
      <c r="F247" s="7" t="s">
        <v>44</v>
      </c>
      <c r="G247" s="9">
        <v>10580</v>
      </c>
      <c r="H247" s="9">
        <v>427</v>
      </c>
      <c r="I247" s="9">
        <v>790</v>
      </c>
      <c r="J247" s="9">
        <v>2814</v>
      </c>
      <c r="K247" s="10">
        <v>24916</v>
      </c>
      <c r="L247" s="9">
        <v>213312</v>
      </c>
      <c r="M247" s="6" t="s">
        <v>52</v>
      </c>
      <c r="N247" s="11">
        <f t="shared" si="4"/>
        <v>5.530396789678968E-2</v>
      </c>
    </row>
    <row r="248" spans="1:14" ht="15" thickBot="1" x14ac:dyDescent="0.35">
      <c r="A248" s="6" t="s">
        <v>164</v>
      </c>
      <c r="B248" s="7" t="s">
        <v>25</v>
      </c>
      <c r="C248" s="8">
        <v>45586</v>
      </c>
      <c r="D248" s="7" t="s">
        <v>31</v>
      </c>
      <c r="E248" s="7" t="s">
        <v>32</v>
      </c>
      <c r="F248" s="7" t="s">
        <v>33</v>
      </c>
      <c r="G248" s="9">
        <v>8254</v>
      </c>
      <c r="H248" s="9">
        <v>1405</v>
      </c>
      <c r="I248" s="9">
        <v>165</v>
      </c>
      <c r="J248" s="9">
        <v>2504</v>
      </c>
      <c r="K248" s="10">
        <v>8081</v>
      </c>
      <c r="L248" s="9">
        <v>177710</v>
      </c>
      <c r="M248" s="6" t="s">
        <v>18</v>
      </c>
      <c r="N248" s="11">
        <f t="shared" si="4"/>
        <v>5.5281075910190762E-2</v>
      </c>
    </row>
    <row r="249" spans="1:14" ht="15" thickBot="1" x14ac:dyDescent="0.35">
      <c r="A249" s="6" t="s">
        <v>337</v>
      </c>
      <c r="B249" s="7" t="s">
        <v>25</v>
      </c>
      <c r="C249" s="8">
        <v>45791</v>
      </c>
      <c r="D249" s="7" t="s">
        <v>15</v>
      </c>
      <c r="E249" s="7" t="s">
        <v>32</v>
      </c>
      <c r="F249" s="7" t="s">
        <v>57</v>
      </c>
      <c r="G249" s="9">
        <v>9041</v>
      </c>
      <c r="H249" s="9">
        <v>1133</v>
      </c>
      <c r="I249" s="9">
        <v>612</v>
      </c>
      <c r="J249" s="9">
        <v>1687</v>
      </c>
      <c r="K249" s="10">
        <v>28102</v>
      </c>
      <c r="L249" s="9">
        <v>195683</v>
      </c>
      <c r="M249" s="6" t="s">
        <v>34</v>
      </c>
      <c r="N249" s="11">
        <f t="shared" si="4"/>
        <v>5.5119760020032396E-2</v>
      </c>
    </row>
    <row r="250" spans="1:14" ht="15" thickBot="1" x14ac:dyDescent="0.35">
      <c r="A250" s="6" t="s">
        <v>157</v>
      </c>
      <c r="B250" s="7" t="s">
        <v>20</v>
      </c>
      <c r="C250" s="8">
        <v>45929</v>
      </c>
      <c r="D250" s="7" t="s">
        <v>31</v>
      </c>
      <c r="E250" s="7" t="s">
        <v>62</v>
      </c>
      <c r="F250" s="7" t="s">
        <v>37</v>
      </c>
      <c r="G250" s="9">
        <v>7569</v>
      </c>
      <c r="H250" s="9">
        <v>803</v>
      </c>
      <c r="I250" s="9">
        <v>804</v>
      </c>
      <c r="J250" s="9">
        <v>1753</v>
      </c>
      <c r="K250" s="10">
        <v>43582</v>
      </c>
      <c r="L250" s="9">
        <v>166945</v>
      </c>
      <c r="M250" s="6" t="s">
        <v>23</v>
      </c>
      <c r="N250" s="11">
        <f t="shared" si="4"/>
        <v>5.4964209769684629E-2</v>
      </c>
    </row>
    <row r="251" spans="1:14" ht="15" thickBot="1" x14ac:dyDescent="0.35">
      <c r="A251" s="6" t="s">
        <v>241</v>
      </c>
      <c r="B251" s="7" t="s">
        <v>47</v>
      </c>
      <c r="C251" s="8">
        <v>45587</v>
      </c>
      <c r="D251" s="7" t="s">
        <v>26</v>
      </c>
      <c r="E251" s="7" t="s">
        <v>27</v>
      </c>
      <c r="F251" s="7" t="s">
        <v>28</v>
      </c>
      <c r="G251" s="9">
        <v>7750</v>
      </c>
      <c r="H251" s="9">
        <v>1146</v>
      </c>
      <c r="I251" s="9">
        <v>415</v>
      </c>
      <c r="J251" s="9">
        <v>1411</v>
      </c>
      <c r="K251" s="10">
        <v>85339</v>
      </c>
      <c r="L251" s="9">
        <v>172439</v>
      </c>
      <c r="M251" s="6" t="s">
        <v>29</v>
      </c>
      <c r="N251" s="11">
        <f t="shared" si="4"/>
        <v>5.3995905798572247E-2</v>
      </c>
    </row>
    <row r="252" spans="1:14" ht="15" thickBot="1" x14ac:dyDescent="0.35">
      <c r="A252" s="6" t="s">
        <v>138</v>
      </c>
      <c r="B252" s="7" t="s">
        <v>47</v>
      </c>
      <c r="C252" s="8">
        <v>45603</v>
      </c>
      <c r="D252" s="7" t="s">
        <v>39</v>
      </c>
      <c r="E252" s="7" t="s">
        <v>48</v>
      </c>
      <c r="F252" s="7" t="s">
        <v>32</v>
      </c>
      <c r="G252" s="9">
        <v>11550</v>
      </c>
      <c r="H252" s="9">
        <v>501</v>
      </c>
      <c r="I252" s="9">
        <v>646</v>
      </c>
      <c r="J252" s="9">
        <v>773</v>
      </c>
      <c r="K252" s="10">
        <v>17841</v>
      </c>
      <c r="L252" s="9">
        <v>237576</v>
      </c>
      <c r="M252" s="6" t="s">
        <v>34</v>
      </c>
      <c r="N252" s="11">
        <f t="shared" si="4"/>
        <v>5.3443950567397383E-2</v>
      </c>
    </row>
    <row r="253" spans="1:14" ht="15" thickBot="1" x14ac:dyDescent="0.35">
      <c r="A253" s="6" t="s">
        <v>72</v>
      </c>
      <c r="B253" s="7" t="s">
        <v>20</v>
      </c>
      <c r="C253" s="8">
        <v>45713</v>
      </c>
      <c r="D253" s="7" t="s">
        <v>39</v>
      </c>
      <c r="E253" s="7" t="s">
        <v>62</v>
      </c>
      <c r="F253" s="7" t="s">
        <v>37</v>
      </c>
      <c r="G253" s="9">
        <v>10702</v>
      </c>
      <c r="H253" s="9">
        <v>621</v>
      </c>
      <c r="I253" s="9">
        <v>445</v>
      </c>
      <c r="J253" s="9">
        <v>2918</v>
      </c>
      <c r="K253" s="10">
        <v>54808</v>
      </c>
      <c r="L253" s="9">
        <v>220225</v>
      </c>
      <c r="M253" s="6" t="s">
        <v>18</v>
      </c>
      <c r="N253" s="11">
        <f t="shared" si="4"/>
        <v>5.3436258372119426E-2</v>
      </c>
    </row>
    <row r="254" spans="1:14" ht="15" thickBot="1" x14ac:dyDescent="0.35">
      <c r="A254" s="6" t="s">
        <v>50</v>
      </c>
      <c r="B254" s="7" t="s">
        <v>14</v>
      </c>
      <c r="C254" s="8">
        <v>45494</v>
      </c>
      <c r="D254" s="7" t="s">
        <v>26</v>
      </c>
      <c r="E254" s="7" t="s">
        <v>21</v>
      </c>
      <c r="F254" s="7" t="s">
        <v>22</v>
      </c>
      <c r="G254" s="9">
        <v>2009</v>
      </c>
      <c r="H254" s="9">
        <v>1072</v>
      </c>
      <c r="I254" s="9">
        <v>550</v>
      </c>
      <c r="J254" s="9">
        <v>1437</v>
      </c>
      <c r="K254" s="10">
        <v>22982</v>
      </c>
      <c r="L254" s="9">
        <v>69426</v>
      </c>
      <c r="M254" s="6" t="s">
        <v>34</v>
      </c>
      <c r="N254" s="11">
        <f t="shared" si="4"/>
        <v>5.2300290957278256E-2</v>
      </c>
    </row>
    <row r="255" spans="1:14" ht="15" thickBot="1" x14ac:dyDescent="0.35">
      <c r="A255" s="6" t="s">
        <v>313</v>
      </c>
      <c r="B255" s="7" t="s">
        <v>14</v>
      </c>
      <c r="C255" s="8">
        <v>45601</v>
      </c>
      <c r="D255" s="7" t="s">
        <v>26</v>
      </c>
      <c r="E255" s="7" t="s">
        <v>71</v>
      </c>
      <c r="F255" s="7"/>
      <c r="G255" s="9">
        <v>8469</v>
      </c>
      <c r="H255" s="9">
        <v>935</v>
      </c>
      <c r="I255" s="9">
        <v>211</v>
      </c>
      <c r="J255" s="9">
        <v>2635</v>
      </c>
      <c r="K255" s="10">
        <v>21890</v>
      </c>
      <c r="L255" s="9">
        <v>184539</v>
      </c>
      <c r="M255" s="6" t="s">
        <v>52</v>
      </c>
      <c r="N255" s="11">
        <f t="shared" si="4"/>
        <v>5.2102807536618279E-2</v>
      </c>
    </row>
    <row r="256" spans="1:14" ht="15" thickBot="1" x14ac:dyDescent="0.35">
      <c r="A256" s="6" t="s">
        <v>45</v>
      </c>
      <c r="B256" s="7" t="s">
        <v>14</v>
      </c>
      <c r="C256" s="8">
        <v>45534</v>
      </c>
      <c r="D256" s="7" t="s">
        <v>39</v>
      </c>
      <c r="E256" s="7" t="s">
        <v>21</v>
      </c>
      <c r="F256" s="7" t="s">
        <v>22</v>
      </c>
      <c r="G256" s="9">
        <v>6804</v>
      </c>
      <c r="H256" s="9">
        <v>787</v>
      </c>
      <c r="I256" s="9">
        <v>970</v>
      </c>
      <c r="J256" s="9">
        <v>1095</v>
      </c>
      <c r="K256" s="10">
        <v>56343</v>
      </c>
      <c r="L256" s="9">
        <v>164677</v>
      </c>
      <c r="M256" s="6" t="s">
        <v>18</v>
      </c>
      <c r="N256" s="11">
        <f t="shared" si="4"/>
        <v>5.1986616224487935E-2</v>
      </c>
    </row>
    <row r="257" spans="1:14" ht="15" thickBot="1" x14ac:dyDescent="0.35">
      <c r="A257" s="6" t="s">
        <v>73</v>
      </c>
      <c r="B257" s="7" t="s">
        <v>25</v>
      </c>
      <c r="C257" s="8">
        <v>45642</v>
      </c>
      <c r="D257" s="7" t="s">
        <v>15</v>
      </c>
      <c r="E257" s="7" t="s">
        <v>32</v>
      </c>
      <c r="F257" s="7" t="s">
        <v>33</v>
      </c>
      <c r="G257" s="9">
        <v>2384</v>
      </c>
      <c r="H257" s="9">
        <v>1246</v>
      </c>
      <c r="I257" s="9">
        <v>160</v>
      </c>
      <c r="J257" s="9">
        <v>2004</v>
      </c>
      <c r="K257" s="10">
        <v>2701</v>
      </c>
      <c r="L257" s="9">
        <v>73142</v>
      </c>
      <c r="M257" s="6" t="s">
        <v>18</v>
      </c>
      <c r="N257" s="11">
        <f t="shared" si="4"/>
        <v>5.1817013480626728E-2</v>
      </c>
    </row>
    <row r="258" spans="1:14" ht="15" thickBot="1" x14ac:dyDescent="0.35">
      <c r="A258" s="6" t="s">
        <v>63</v>
      </c>
      <c r="B258" s="7" t="s">
        <v>25</v>
      </c>
      <c r="C258" s="8">
        <v>45715</v>
      </c>
      <c r="D258" s="7" t="s">
        <v>15</v>
      </c>
      <c r="E258" s="7" t="s">
        <v>40</v>
      </c>
      <c r="F258" s="7" t="s">
        <v>41</v>
      </c>
      <c r="G258" s="9">
        <v>8970</v>
      </c>
      <c r="H258" s="9">
        <v>331</v>
      </c>
      <c r="I258" s="9">
        <v>968</v>
      </c>
      <c r="J258" s="9">
        <v>2296</v>
      </c>
      <c r="K258" s="10">
        <v>24613</v>
      </c>
      <c r="L258" s="9">
        <v>198562</v>
      </c>
      <c r="M258" s="6" t="s">
        <v>34</v>
      </c>
      <c r="N258" s="11">
        <f t="shared" ref="N258:N301" si="5">(G258+H258+I258)/L258</f>
        <v>5.1716844109144754E-2</v>
      </c>
    </row>
    <row r="259" spans="1:14" ht="15" thickBot="1" x14ac:dyDescent="0.35">
      <c r="A259" s="6" t="s">
        <v>244</v>
      </c>
      <c r="B259" s="7" t="s">
        <v>14</v>
      </c>
      <c r="C259" s="8">
        <v>45754</v>
      </c>
      <c r="D259" s="7" t="s">
        <v>39</v>
      </c>
      <c r="E259" s="7" t="s">
        <v>62</v>
      </c>
      <c r="F259" s="7" t="s">
        <v>37</v>
      </c>
      <c r="G259" s="9">
        <v>3062</v>
      </c>
      <c r="H259" s="9">
        <v>1124</v>
      </c>
      <c r="I259" s="9">
        <v>538</v>
      </c>
      <c r="J259" s="9">
        <v>2935</v>
      </c>
      <c r="K259" s="10">
        <v>69749</v>
      </c>
      <c r="L259" s="9">
        <v>91924</v>
      </c>
      <c r="M259" s="6" t="s">
        <v>34</v>
      </c>
      <c r="N259" s="11">
        <f t="shared" si="5"/>
        <v>5.1390278926069365E-2</v>
      </c>
    </row>
    <row r="260" spans="1:14" ht="15" thickBot="1" x14ac:dyDescent="0.35">
      <c r="A260" s="6" t="s">
        <v>305</v>
      </c>
      <c r="B260" s="7" t="s">
        <v>25</v>
      </c>
      <c r="C260" s="8">
        <v>45592</v>
      </c>
      <c r="D260" s="7" t="s">
        <v>39</v>
      </c>
      <c r="E260" s="7" t="s">
        <v>16</v>
      </c>
      <c r="F260" s="7" t="s">
        <v>17</v>
      </c>
      <c r="G260" s="9">
        <v>7560</v>
      </c>
      <c r="H260" s="9">
        <v>1139</v>
      </c>
      <c r="I260" s="9">
        <v>248</v>
      </c>
      <c r="J260" s="9">
        <v>1624</v>
      </c>
      <c r="K260" s="10">
        <v>72237</v>
      </c>
      <c r="L260" s="9">
        <v>177084</v>
      </c>
      <c r="M260" s="6" t="s">
        <v>29</v>
      </c>
      <c r="N260" s="11">
        <f t="shared" si="5"/>
        <v>5.0524045085947912E-2</v>
      </c>
    </row>
    <row r="261" spans="1:14" ht="15" thickBot="1" x14ac:dyDescent="0.35">
      <c r="A261" s="6" t="s">
        <v>263</v>
      </c>
      <c r="B261" s="7" t="s">
        <v>20</v>
      </c>
      <c r="C261" s="8">
        <v>45685</v>
      </c>
      <c r="D261" s="7" t="s">
        <v>39</v>
      </c>
      <c r="E261" s="7" t="s">
        <v>40</v>
      </c>
      <c r="F261" s="7" t="s">
        <v>41</v>
      </c>
      <c r="G261" s="9">
        <v>9943</v>
      </c>
      <c r="H261" s="9">
        <v>1274</v>
      </c>
      <c r="I261" s="9">
        <v>336</v>
      </c>
      <c r="J261" s="9">
        <v>389</v>
      </c>
      <c r="K261" s="10">
        <v>6145</v>
      </c>
      <c r="L261" s="9">
        <v>231305</v>
      </c>
      <c r="M261" s="6" t="s">
        <v>18</v>
      </c>
      <c r="N261" s="11">
        <f t="shared" si="5"/>
        <v>4.9947039623008581E-2</v>
      </c>
    </row>
    <row r="262" spans="1:14" ht="15" thickBot="1" x14ac:dyDescent="0.35">
      <c r="A262" s="6" t="s">
        <v>215</v>
      </c>
      <c r="B262" s="7" t="s">
        <v>20</v>
      </c>
      <c r="C262" s="8">
        <v>45657</v>
      </c>
      <c r="D262" s="7" t="s">
        <v>15</v>
      </c>
      <c r="E262" s="7" t="s">
        <v>16</v>
      </c>
      <c r="F262" s="7" t="s">
        <v>17</v>
      </c>
      <c r="G262" s="9">
        <v>10717</v>
      </c>
      <c r="H262" s="9">
        <v>760</v>
      </c>
      <c r="I262" s="9">
        <v>460</v>
      </c>
      <c r="J262" s="9">
        <v>1316</v>
      </c>
      <c r="K262" s="10">
        <v>18164</v>
      </c>
      <c r="L262" s="9">
        <v>240641</v>
      </c>
      <c r="M262" s="6" t="s">
        <v>52</v>
      </c>
      <c r="N262" s="11">
        <f t="shared" si="5"/>
        <v>4.9605013277039242E-2</v>
      </c>
    </row>
    <row r="263" spans="1:14" ht="15" thickBot="1" x14ac:dyDescent="0.35">
      <c r="A263" s="6" t="s">
        <v>107</v>
      </c>
      <c r="B263" s="7" t="s">
        <v>14</v>
      </c>
      <c r="C263" s="8">
        <v>45744</v>
      </c>
      <c r="D263" s="7" t="s">
        <v>26</v>
      </c>
      <c r="E263" s="7" t="s">
        <v>16</v>
      </c>
      <c r="F263" s="7" t="s">
        <v>17</v>
      </c>
      <c r="G263" s="9">
        <v>6363</v>
      </c>
      <c r="H263" s="9">
        <v>1341</v>
      </c>
      <c r="I263" s="9">
        <v>222</v>
      </c>
      <c r="J263" s="9">
        <v>2712</v>
      </c>
      <c r="K263" s="10">
        <v>19987</v>
      </c>
      <c r="L263" s="9">
        <v>160585</v>
      </c>
      <c r="M263" s="6" t="s">
        <v>29</v>
      </c>
      <c r="N263" s="11">
        <f t="shared" si="5"/>
        <v>4.9357038328611019E-2</v>
      </c>
    </row>
    <row r="264" spans="1:14" ht="15" thickBot="1" x14ac:dyDescent="0.35">
      <c r="A264" s="6" t="s">
        <v>174</v>
      </c>
      <c r="B264" s="7" t="s">
        <v>20</v>
      </c>
      <c r="C264" s="8">
        <v>45564</v>
      </c>
      <c r="D264" s="7" t="s">
        <v>39</v>
      </c>
      <c r="E264" s="7" t="s">
        <v>21</v>
      </c>
      <c r="F264" s="7" t="s">
        <v>22</v>
      </c>
      <c r="G264" s="9">
        <v>10472</v>
      </c>
      <c r="H264" s="9">
        <v>401</v>
      </c>
      <c r="I264" s="9">
        <v>668</v>
      </c>
      <c r="J264" s="9">
        <v>383</v>
      </c>
      <c r="K264" s="10">
        <v>37571</v>
      </c>
      <c r="L264" s="9">
        <v>249203</v>
      </c>
      <c r="M264" s="6" t="s">
        <v>29</v>
      </c>
      <c r="N264" s="11">
        <f t="shared" si="5"/>
        <v>4.6311641513143903E-2</v>
      </c>
    </row>
    <row r="265" spans="1:14" ht="15" thickBot="1" x14ac:dyDescent="0.35">
      <c r="A265" s="6" t="s">
        <v>55</v>
      </c>
      <c r="B265" s="7" t="s">
        <v>25</v>
      </c>
      <c r="C265" s="8">
        <v>45530</v>
      </c>
      <c r="D265" s="7" t="s">
        <v>39</v>
      </c>
      <c r="E265" s="7" t="s">
        <v>43</v>
      </c>
      <c r="F265" s="7" t="s">
        <v>44</v>
      </c>
      <c r="G265" s="9">
        <v>4193</v>
      </c>
      <c r="H265" s="9">
        <v>924</v>
      </c>
      <c r="I265" s="9">
        <v>707</v>
      </c>
      <c r="J265" s="9">
        <v>2696</v>
      </c>
      <c r="K265" s="10">
        <v>55075</v>
      </c>
      <c r="L265" s="9">
        <v>126652</v>
      </c>
      <c r="M265" s="6" t="s">
        <v>34</v>
      </c>
      <c r="N265" s="11">
        <f t="shared" si="5"/>
        <v>4.5984271863057827E-2</v>
      </c>
    </row>
    <row r="266" spans="1:14" ht="15" thickBot="1" x14ac:dyDescent="0.35">
      <c r="A266" s="6" t="s">
        <v>100</v>
      </c>
      <c r="B266" s="7" t="s">
        <v>25</v>
      </c>
      <c r="C266" s="8">
        <v>45762</v>
      </c>
      <c r="D266" s="7" t="s">
        <v>39</v>
      </c>
      <c r="E266" s="7" t="s">
        <v>27</v>
      </c>
      <c r="F266" s="7" t="s">
        <v>28</v>
      </c>
      <c r="G266" s="9">
        <v>5419</v>
      </c>
      <c r="H266" s="9">
        <v>1150</v>
      </c>
      <c r="I266" s="9">
        <v>656</v>
      </c>
      <c r="J266" s="9">
        <v>1990</v>
      </c>
      <c r="K266" s="10">
        <v>410</v>
      </c>
      <c r="L266" s="9">
        <v>158154</v>
      </c>
      <c r="M266" s="6" t="s">
        <v>29</v>
      </c>
      <c r="N266" s="11">
        <f t="shared" si="5"/>
        <v>4.5683321319726342E-2</v>
      </c>
    </row>
    <row r="267" spans="1:14" ht="15" thickBot="1" x14ac:dyDescent="0.35">
      <c r="A267" s="6" t="s">
        <v>189</v>
      </c>
      <c r="B267" s="7" t="s">
        <v>20</v>
      </c>
      <c r="C267" s="8">
        <v>45516</v>
      </c>
      <c r="D267" s="7" t="s">
        <v>39</v>
      </c>
      <c r="E267" s="7" t="s">
        <v>21</v>
      </c>
      <c r="F267" s="7" t="s">
        <v>22</v>
      </c>
      <c r="G267" s="9">
        <v>8376</v>
      </c>
      <c r="H267" s="9">
        <v>1154</v>
      </c>
      <c r="I267" s="9">
        <v>422</v>
      </c>
      <c r="J267" s="9">
        <v>1907</v>
      </c>
      <c r="K267" s="10">
        <v>36874</v>
      </c>
      <c r="L267" s="9">
        <v>218486</v>
      </c>
      <c r="M267" s="6" t="s">
        <v>29</v>
      </c>
      <c r="N267" s="11">
        <f t="shared" si="5"/>
        <v>4.5549829279679245E-2</v>
      </c>
    </row>
    <row r="268" spans="1:14" ht="15" thickBot="1" x14ac:dyDescent="0.35">
      <c r="A268" s="6" t="s">
        <v>327</v>
      </c>
      <c r="B268" s="7" t="s">
        <v>47</v>
      </c>
      <c r="C268" s="8">
        <v>45786</v>
      </c>
      <c r="D268" s="7" t="s">
        <v>39</v>
      </c>
      <c r="E268" s="7" t="s">
        <v>43</v>
      </c>
      <c r="F268" s="7" t="s">
        <v>44</v>
      </c>
      <c r="G268" s="9">
        <v>8988</v>
      </c>
      <c r="H268" s="9">
        <v>228</v>
      </c>
      <c r="I268" s="9">
        <v>766</v>
      </c>
      <c r="J268" s="9">
        <v>652</v>
      </c>
      <c r="K268" s="10">
        <v>63789</v>
      </c>
      <c r="L268" s="9">
        <v>219785</v>
      </c>
      <c r="M268" s="6" t="s">
        <v>29</v>
      </c>
      <c r="N268" s="11">
        <f t="shared" si="5"/>
        <v>4.541711217781013E-2</v>
      </c>
    </row>
    <row r="269" spans="1:14" ht="15" thickBot="1" x14ac:dyDescent="0.35">
      <c r="A269" s="6" t="s">
        <v>342</v>
      </c>
      <c r="B269" s="7" t="s">
        <v>14</v>
      </c>
      <c r="C269" s="8">
        <v>45924</v>
      </c>
      <c r="D269" s="7" t="s">
        <v>26</v>
      </c>
      <c r="E269" s="7" t="s">
        <v>48</v>
      </c>
      <c r="F269" s="7" t="s">
        <v>32</v>
      </c>
      <c r="G269" s="9">
        <v>3342</v>
      </c>
      <c r="H269" s="9">
        <v>787</v>
      </c>
      <c r="I269" s="9">
        <v>375</v>
      </c>
      <c r="J269" s="9">
        <v>907</v>
      </c>
      <c r="K269" s="10">
        <v>85823</v>
      </c>
      <c r="L269" s="9">
        <v>99189</v>
      </c>
      <c r="M269" s="6" t="s">
        <v>23</v>
      </c>
      <c r="N269" s="11">
        <f t="shared" si="5"/>
        <v>4.5408260996683103E-2</v>
      </c>
    </row>
    <row r="270" spans="1:14" ht="15" thickBot="1" x14ac:dyDescent="0.35">
      <c r="A270" s="6" t="s">
        <v>134</v>
      </c>
      <c r="B270" s="7" t="s">
        <v>47</v>
      </c>
      <c r="C270" s="8">
        <v>45446</v>
      </c>
      <c r="D270" s="7" t="s">
        <v>15</v>
      </c>
      <c r="E270" s="7" t="s">
        <v>32</v>
      </c>
      <c r="F270" s="7" t="s">
        <v>57</v>
      </c>
      <c r="G270" s="9">
        <v>8941</v>
      </c>
      <c r="H270" s="9">
        <v>911</v>
      </c>
      <c r="I270" s="9">
        <v>166</v>
      </c>
      <c r="J270" s="9">
        <v>1217</v>
      </c>
      <c r="K270" s="10">
        <v>68817</v>
      </c>
      <c r="L270" s="9">
        <v>221180</v>
      </c>
      <c r="M270" s="6" t="s">
        <v>52</v>
      </c>
      <c r="N270" s="11">
        <f t="shared" si="5"/>
        <v>4.5293426168731353E-2</v>
      </c>
    </row>
    <row r="271" spans="1:14" ht="15" thickBot="1" x14ac:dyDescent="0.35">
      <c r="A271" s="6" t="s">
        <v>178</v>
      </c>
      <c r="B271" s="7" t="s">
        <v>25</v>
      </c>
      <c r="C271" s="8">
        <v>45931</v>
      </c>
      <c r="D271" s="7" t="s">
        <v>39</v>
      </c>
      <c r="E271" s="7" t="s">
        <v>37</v>
      </c>
      <c r="F271" s="7"/>
      <c r="G271" s="9">
        <v>6188</v>
      </c>
      <c r="H271" s="9">
        <v>774</v>
      </c>
      <c r="I271" s="9">
        <v>647</v>
      </c>
      <c r="J271" s="9">
        <v>1830</v>
      </c>
      <c r="K271" s="10">
        <v>55436</v>
      </c>
      <c r="L271" s="9">
        <v>175542</v>
      </c>
      <c r="M271" s="6" t="s">
        <v>23</v>
      </c>
      <c r="N271" s="11">
        <f t="shared" si="5"/>
        <v>4.3345752013763089E-2</v>
      </c>
    </row>
    <row r="272" spans="1:14" ht="15" thickBot="1" x14ac:dyDescent="0.35">
      <c r="A272" s="6" t="s">
        <v>80</v>
      </c>
      <c r="B272" s="7" t="s">
        <v>25</v>
      </c>
      <c r="C272" s="8">
        <v>45705</v>
      </c>
      <c r="D272" s="7" t="s">
        <v>26</v>
      </c>
      <c r="E272" s="7" t="s">
        <v>21</v>
      </c>
      <c r="F272" s="7" t="s">
        <v>22</v>
      </c>
      <c r="G272" s="9">
        <v>7989</v>
      </c>
      <c r="H272" s="9">
        <v>1206</v>
      </c>
      <c r="I272" s="9">
        <v>376</v>
      </c>
      <c r="J272" s="9">
        <v>2769</v>
      </c>
      <c r="K272" s="10">
        <v>27550</v>
      </c>
      <c r="L272" s="9">
        <v>221749</v>
      </c>
      <c r="M272" s="6" t="s">
        <v>29</v>
      </c>
      <c r="N272" s="11">
        <f t="shared" si="5"/>
        <v>4.3161412227338117E-2</v>
      </c>
    </row>
    <row r="273" spans="1:14" ht="15" thickBot="1" x14ac:dyDescent="0.35">
      <c r="A273" s="6" t="s">
        <v>112</v>
      </c>
      <c r="B273" s="7" t="s">
        <v>47</v>
      </c>
      <c r="C273" s="8">
        <v>45749</v>
      </c>
      <c r="D273" s="7" t="s">
        <v>26</v>
      </c>
      <c r="E273" s="7" t="s">
        <v>48</v>
      </c>
      <c r="F273" s="7" t="s">
        <v>32</v>
      </c>
      <c r="G273" s="9">
        <v>6858</v>
      </c>
      <c r="H273" s="9">
        <v>415</v>
      </c>
      <c r="I273" s="9">
        <v>366</v>
      </c>
      <c r="J273" s="9">
        <v>2761</v>
      </c>
      <c r="K273" s="10">
        <v>2988</v>
      </c>
      <c r="L273" s="9">
        <v>177348</v>
      </c>
      <c r="M273" s="6" t="s">
        <v>18</v>
      </c>
      <c r="N273" s="11">
        <f t="shared" si="5"/>
        <v>4.3073505198818141E-2</v>
      </c>
    </row>
    <row r="274" spans="1:14" ht="15" thickBot="1" x14ac:dyDescent="0.35">
      <c r="A274" s="6" t="s">
        <v>186</v>
      </c>
      <c r="B274" s="7" t="s">
        <v>25</v>
      </c>
      <c r="C274" s="8">
        <v>45741</v>
      </c>
      <c r="D274" s="7" t="s">
        <v>39</v>
      </c>
      <c r="E274" s="7" t="s">
        <v>27</v>
      </c>
      <c r="F274" s="7" t="s">
        <v>28</v>
      </c>
      <c r="G274" s="9">
        <v>5900</v>
      </c>
      <c r="H274" s="9">
        <v>546</v>
      </c>
      <c r="I274" s="9">
        <v>592</v>
      </c>
      <c r="J274" s="9">
        <v>1594</v>
      </c>
      <c r="K274" s="10">
        <v>38627</v>
      </c>
      <c r="L274" s="9">
        <v>164398</v>
      </c>
      <c r="M274" s="6" t="s">
        <v>52</v>
      </c>
      <c r="N274" s="11">
        <f t="shared" si="5"/>
        <v>4.2810739790021778E-2</v>
      </c>
    </row>
    <row r="275" spans="1:14" ht="15" thickBot="1" x14ac:dyDescent="0.35">
      <c r="A275" s="6" t="s">
        <v>251</v>
      </c>
      <c r="B275" s="7" t="s">
        <v>20</v>
      </c>
      <c r="C275" s="8">
        <v>45655</v>
      </c>
      <c r="D275" s="7" t="s">
        <v>39</v>
      </c>
      <c r="E275" s="7" t="s">
        <v>71</v>
      </c>
      <c r="F275" s="7"/>
      <c r="G275" s="9">
        <v>8288</v>
      </c>
      <c r="H275" s="9">
        <v>1401</v>
      </c>
      <c r="I275" s="9">
        <v>819</v>
      </c>
      <c r="J275" s="9">
        <v>1235</v>
      </c>
      <c r="K275" s="10">
        <v>33446</v>
      </c>
      <c r="L275" s="9">
        <v>248786</v>
      </c>
      <c r="M275" s="6" t="s">
        <v>18</v>
      </c>
      <c r="N275" s="11">
        <f t="shared" si="5"/>
        <v>4.2237103373984064E-2</v>
      </c>
    </row>
    <row r="276" spans="1:14" ht="15" thickBot="1" x14ac:dyDescent="0.35">
      <c r="A276" s="6" t="s">
        <v>318</v>
      </c>
      <c r="B276" s="7" t="s">
        <v>20</v>
      </c>
      <c r="C276" s="8">
        <v>45658</v>
      </c>
      <c r="D276" s="7" t="s">
        <v>31</v>
      </c>
      <c r="E276" s="7" t="s">
        <v>40</v>
      </c>
      <c r="F276" s="7" t="s">
        <v>41</v>
      </c>
      <c r="G276" s="9">
        <v>8283</v>
      </c>
      <c r="H276" s="9">
        <v>720</v>
      </c>
      <c r="I276" s="9">
        <v>888</v>
      </c>
      <c r="J276" s="9">
        <v>611</v>
      </c>
      <c r="K276" s="10">
        <v>52791</v>
      </c>
      <c r="L276" s="9">
        <v>235229</v>
      </c>
      <c r="M276" s="6" t="s">
        <v>18</v>
      </c>
      <c r="N276" s="11">
        <f t="shared" si="5"/>
        <v>4.2048386891072105E-2</v>
      </c>
    </row>
    <row r="277" spans="1:14" ht="15" thickBot="1" x14ac:dyDescent="0.35">
      <c r="A277" s="6" t="s">
        <v>250</v>
      </c>
      <c r="B277" s="7" t="s">
        <v>25</v>
      </c>
      <c r="C277" s="8">
        <v>45467</v>
      </c>
      <c r="D277" s="7" t="s">
        <v>15</v>
      </c>
      <c r="E277" s="7" t="s">
        <v>32</v>
      </c>
      <c r="F277" s="7" t="s">
        <v>57</v>
      </c>
      <c r="G277" s="9">
        <v>6632</v>
      </c>
      <c r="H277" s="9">
        <v>254</v>
      </c>
      <c r="I277" s="9">
        <v>525</v>
      </c>
      <c r="J277" s="9">
        <v>1013</v>
      </c>
      <c r="K277" s="10">
        <v>13838</v>
      </c>
      <c r="L277" s="9">
        <v>180180</v>
      </c>
      <c r="M277" s="6" t="s">
        <v>18</v>
      </c>
      <c r="N277" s="11">
        <f t="shared" si="5"/>
        <v>4.1131091131091133E-2</v>
      </c>
    </row>
    <row r="278" spans="1:14" ht="15" thickBot="1" x14ac:dyDescent="0.35">
      <c r="A278" s="6" t="s">
        <v>300</v>
      </c>
      <c r="B278" s="7" t="s">
        <v>14</v>
      </c>
      <c r="C278" s="8">
        <v>45917</v>
      </c>
      <c r="D278" s="7" t="s">
        <v>39</v>
      </c>
      <c r="E278" s="7" t="s">
        <v>40</v>
      </c>
      <c r="F278" s="7" t="s">
        <v>41</v>
      </c>
      <c r="G278" s="9">
        <v>2117</v>
      </c>
      <c r="H278" s="9">
        <v>1133</v>
      </c>
      <c r="I278" s="9">
        <v>203</v>
      </c>
      <c r="J278" s="9">
        <v>1173</v>
      </c>
      <c r="K278" s="10">
        <v>40125</v>
      </c>
      <c r="L278" s="9">
        <v>85379</v>
      </c>
      <c r="M278" s="6" t="s">
        <v>23</v>
      </c>
      <c r="N278" s="11">
        <f t="shared" si="5"/>
        <v>4.0443200318579509E-2</v>
      </c>
    </row>
    <row r="279" spans="1:14" ht="15" thickBot="1" x14ac:dyDescent="0.35">
      <c r="A279" s="6" t="s">
        <v>226</v>
      </c>
      <c r="B279" s="7" t="s">
        <v>14</v>
      </c>
      <c r="C279" s="8">
        <v>45504</v>
      </c>
      <c r="D279" s="7" t="s">
        <v>31</v>
      </c>
      <c r="E279" s="7" t="s">
        <v>27</v>
      </c>
      <c r="F279" s="7" t="s">
        <v>28</v>
      </c>
      <c r="G279" s="9">
        <v>7122</v>
      </c>
      <c r="H279" s="9">
        <v>628</v>
      </c>
      <c r="I279" s="9">
        <v>757</v>
      </c>
      <c r="J279" s="9">
        <v>2313</v>
      </c>
      <c r="K279" s="10">
        <v>50924</v>
      </c>
      <c r="L279" s="9">
        <v>210954</v>
      </c>
      <c r="M279" s="6" t="s">
        <v>52</v>
      </c>
      <c r="N279" s="11">
        <f t="shared" si="5"/>
        <v>4.0326327066564277E-2</v>
      </c>
    </row>
    <row r="280" spans="1:14" ht="15" thickBot="1" x14ac:dyDescent="0.35">
      <c r="A280" s="6" t="s">
        <v>121</v>
      </c>
      <c r="B280" s="7" t="s">
        <v>14</v>
      </c>
      <c r="C280" s="8">
        <v>45922</v>
      </c>
      <c r="D280" s="7" t="s">
        <v>31</v>
      </c>
      <c r="E280" s="7" t="s">
        <v>122</v>
      </c>
      <c r="F280" s="7" t="s">
        <v>123</v>
      </c>
      <c r="G280" s="9">
        <v>8996</v>
      </c>
      <c r="H280" s="9">
        <v>329</v>
      </c>
      <c r="I280" s="9">
        <v>378</v>
      </c>
      <c r="J280" s="9">
        <v>2384</v>
      </c>
      <c r="K280" s="10">
        <v>39404</v>
      </c>
      <c r="L280" s="9">
        <v>242724</v>
      </c>
      <c r="M280" s="6" t="s">
        <v>23</v>
      </c>
      <c r="N280" s="11">
        <f t="shared" si="5"/>
        <v>3.9975445361810122E-2</v>
      </c>
    </row>
    <row r="281" spans="1:14" ht="15" thickBot="1" x14ac:dyDescent="0.35">
      <c r="A281" s="6" t="s">
        <v>53</v>
      </c>
      <c r="B281" s="7" t="s">
        <v>14</v>
      </c>
      <c r="C281" s="8">
        <v>45906</v>
      </c>
      <c r="D281" s="7" t="s">
        <v>26</v>
      </c>
      <c r="E281" s="7" t="s">
        <v>43</v>
      </c>
      <c r="F281" s="7" t="s">
        <v>44</v>
      </c>
      <c r="G281" s="9">
        <v>7124</v>
      </c>
      <c r="H281" s="9">
        <v>469</v>
      </c>
      <c r="I281" s="9">
        <v>851</v>
      </c>
      <c r="J281" s="9">
        <v>2571</v>
      </c>
      <c r="K281" s="10">
        <v>33802</v>
      </c>
      <c r="L281" s="9">
        <v>216313</v>
      </c>
      <c r="M281" s="6" t="s">
        <v>23</v>
      </c>
      <c r="N281" s="11">
        <f t="shared" si="5"/>
        <v>3.9036026498638549E-2</v>
      </c>
    </row>
    <row r="282" spans="1:14" ht="15" thickBot="1" x14ac:dyDescent="0.35">
      <c r="A282" s="6" t="s">
        <v>319</v>
      </c>
      <c r="B282" s="7" t="s">
        <v>25</v>
      </c>
      <c r="C282" s="8">
        <v>45509</v>
      </c>
      <c r="D282" s="7" t="s">
        <v>26</v>
      </c>
      <c r="E282" s="7" t="s">
        <v>43</v>
      </c>
      <c r="F282" s="7" t="s">
        <v>44</v>
      </c>
      <c r="G282" s="9">
        <v>4048</v>
      </c>
      <c r="H282" s="9">
        <v>751</v>
      </c>
      <c r="I282" s="9">
        <v>930</v>
      </c>
      <c r="J282" s="9">
        <v>1382</v>
      </c>
      <c r="K282" s="10">
        <v>16844</v>
      </c>
      <c r="L282" s="9">
        <v>148177</v>
      </c>
      <c r="M282" s="6" t="s">
        <v>34</v>
      </c>
      <c r="N282" s="11">
        <f t="shared" si="5"/>
        <v>3.8663220337839206E-2</v>
      </c>
    </row>
    <row r="283" spans="1:14" ht="15" thickBot="1" x14ac:dyDescent="0.35">
      <c r="A283" s="6" t="s">
        <v>185</v>
      </c>
      <c r="B283" s="7" t="s">
        <v>20</v>
      </c>
      <c r="C283" s="8">
        <v>45933</v>
      </c>
      <c r="D283" s="7" t="s">
        <v>15</v>
      </c>
      <c r="E283" s="7" t="s">
        <v>48</v>
      </c>
      <c r="F283" s="7" t="s">
        <v>32</v>
      </c>
      <c r="G283" s="9">
        <v>6777</v>
      </c>
      <c r="H283" s="9">
        <v>617</v>
      </c>
      <c r="I283" s="9">
        <v>551</v>
      </c>
      <c r="J283" s="9">
        <v>2109</v>
      </c>
      <c r="K283" s="10">
        <v>18559</v>
      </c>
      <c r="L283" s="9">
        <v>208452</v>
      </c>
      <c r="M283" s="6" t="s">
        <v>23</v>
      </c>
      <c r="N283" s="11">
        <f t="shared" si="5"/>
        <v>3.8114290100358834E-2</v>
      </c>
    </row>
    <row r="284" spans="1:14" ht="15" thickBot="1" x14ac:dyDescent="0.35">
      <c r="A284" s="6" t="s">
        <v>85</v>
      </c>
      <c r="B284" s="7" t="s">
        <v>47</v>
      </c>
      <c r="C284" s="8">
        <v>45916</v>
      </c>
      <c r="D284" s="7" t="s">
        <v>26</v>
      </c>
      <c r="E284" s="7" t="s">
        <v>71</v>
      </c>
      <c r="F284" s="7"/>
      <c r="G284" s="9">
        <v>6809</v>
      </c>
      <c r="H284" s="9">
        <v>397</v>
      </c>
      <c r="I284" s="9">
        <v>813</v>
      </c>
      <c r="J284" s="9">
        <v>1125</v>
      </c>
      <c r="K284" s="10">
        <v>12206</v>
      </c>
      <c r="L284" s="9">
        <v>218136</v>
      </c>
      <c r="M284" s="6" t="s">
        <v>23</v>
      </c>
      <c r="N284" s="11">
        <f t="shared" si="5"/>
        <v>3.6761469908680823E-2</v>
      </c>
    </row>
    <row r="285" spans="1:14" ht="15" thickBot="1" x14ac:dyDescent="0.35">
      <c r="A285" s="6" t="s">
        <v>325</v>
      </c>
      <c r="B285" s="7" t="s">
        <v>20</v>
      </c>
      <c r="C285" s="8">
        <v>45738</v>
      </c>
      <c r="D285" s="7" t="s">
        <v>31</v>
      </c>
      <c r="E285" s="7" t="s">
        <v>32</v>
      </c>
      <c r="F285" s="7" t="s">
        <v>57</v>
      </c>
      <c r="G285" s="9">
        <v>3917</v>
      </c>
      <c r="H285" s="9">
        <v>865</v>
      </c>
      <c r="I285" s="9">
        <v>759</v>
      </c>
      <c r="J285" s="9">
        <v>2282</v>
      </c>
      <c r="K285" s="10">
        <v>56125</v>
      </c>
      <c r="L285" s="9">
        <v>154014</v>
      </c>
      <c r="M285" s="6" t="s">
        <v>18</v>
      </c>
      <c r="N285" s="11">
        <f t="shared" si="5"/>
        <v>3.5977248821535704E-2</v>
      </c>
    </row>
    <row r="286" spans="1:14" ht="15" thickBot="1" x14ac:dyDescent="0.35">
      <c r="A286" s="6" t="s">
        <v>324</v>
      </c>
      <c r="B286" s="7" t="s">
        <v>47</v>
      </c>
      <c r="C286" s="8">
        <v>45918</v>
      </c>
      <c r="D286" s="7" t="s">
        <v>31</v>
      </c>
      <c r="E286" s="7" t="s">
        <v>40</v>
      </c>
      <c r="F286" s="7" t="s">
        <v>41</v>
      </c>
      <c r="G286" s="9">
        <v>3828</v>
      </c>
      <c r="H286" s="9">
        <v>203</v>
      </c>
      <c r="I286" s="9">
        <v>506</v>
      </c>
      <c r="J286" s="9">
        <v>2440</v>
      </c>
      <c r="K286" s="10">
        <v>63650</v>
      </c>
      <c r="L286" s="9">
        <v>126365</v>
      </c>
      <c r="M286" s="6" t="s">
        <v>23</v>
      </c>
      <c r="N286" s="11">
        <f t="shared" si="5"/>
        <v>3.5903929094290347E-2</v>
      </c>
    </row>
    <row r="287" spans="1:14" ht="15" thickBot="1" x14ac:dyDescent="0.35">
      <c r="A287" s="6" t="s">
        <v>222</v>
      </c>
      <c r="B287" s="7" t="s">
        <v>14</v>
      </c>
      <c r="C287" s="8">
        <v>45940</v>
      </c>
      <c r="D287" s="7" t="s">
        <v>39</v>
      </c>
      <c r="E287" s="7" t="s">
        <v>27</v>
      </c>
      <c r="F287" s="7" t="s">
        <v>28</v>
      </c>
      <c r="G287" s="9">
        <v>6621</v>
      </c>
      <c r="H287" s="9">
        <v>922</v>
      </c>
      <c r="I287" s="9">
        <v>930</v>
      </c>
      <c r="J287" s="9">
        <v>694</v>
      </c>
      <c r="K287" s="10">
        <v>839</v>
      </c>
      <c r="L287" s="9">
        <v>243532</v>
      </c>
      <c r="M287" s="6" t="s">
        <v>23</v>
      </c>
      <c r="N287" s="11">
        <f t="shared" si="5"/>
        <v>3.479214230573395E-2</v>
      </c>
    </row>
    <row r="288" spans="1:14" ht="15" thickBot="1" x14ac:dyDescent="0.35">
      <c r="A288" s="6" t="s">
        <v>225</v>
      </c>
      <c r="B288" s="7" t="s">
        <v>25</v>
      </c>
      <c r="C288" s="8">
        <v>45942</v>
      </c>
      <c r="D288" s="7" t="s">
        <v>39</v>
      </c>
      <c r="E288" s="7" t="s">
        <v>43</v>
      </c>
      <c r="F288" s="7" t="s">
        <v>44</v>
      </c>
      <c r="G288" s="9">
        <v>7126</v>
      </c>
      <c r="H288" s="9">
        <v>484</v>
      </c>
      <c r="I288" s="9">
        <v>565</v>
      </c>
      <c r="J288" s="9">
        <v>573</v>
      </c>
      <c r="K288" s="10">
        <v>7389</v>
      </c>
      <c r="L288" s="9">
        <v>237096</v>
      </c>
      <c r="M288" s="6" t="s">
        <v>23</v>
      </c>
      <c r="N288" s="11">
        <f t="shared" si="5"/>
        <v>3.4479704423524646E-2</v>
      </c>
    </row>
    <row r="289" spans="1:14" ht="15" thickBot="1" x14ac:dyDescent="0.35">
      <c r="A289" s="6" t="s">
        <v>154</v>
      </c>
      <c r="B289" s="7" t="s">
        <v>14</v>
      </c>
      <c r="C289" s="8">
        <v>45502</v>
      </c>
      <c r="D289" s="7" t="s">
        <v>31</v>
      </c>
      <c r="E289" s="7" t="s">
        <v>43</v>
      </c>
      <c r="F289" s="7" t="s">
        <v>44</v>
      </c>
      <c r="G289" s="9">
        <v>6164</v>
      </c>
      <c r="H289" s="9">
        <v>326</v>
      </c>
      <c r="I289" s="9">
        <v>615</v>
      </c>
      <c r="J289" s="9">
        <v>2806</v>
      </c>
      <c r="K289" s="10">
        <v>38579</v>
      </c>
      <c r="L289" s="9">
        <v>206129</v>
      </c>
      <c r="M289" s="6" t="s">
        <v>52</v>
      </c>
      <c r="N289" s="11">
        <f t="shared" si="5"/>
        <v>3.4468706489625425E-2</v>
      </c>
    </row>
    <row r="290" spans="1:14" ht="15" thickBot="1" x14ac:dyDescent="0.35">
      <c r="A290" s="6" t="s">
        <v>336</v>
      </c>
      <c r="B290" s="7" t="s">
        <v>14</v>
      </c>
      <c r="C290" s="8">
        <v>45613</v>
      </c>
      <c r="D290" s="7" t="s">
        <v>39</v>
      </c>
      <c r="E290" s="7" t="s">
        <v>40</v>
      </c>
      <c r="F290" s="7" t="s">
        <v>41</v>
      </c>
      <c r="G290" s="9">
        <v>4219</v>
      </c>
      <c r="H290" s="9">
        <v>240</v>
      </c>
      <c r="I290" s="9">
        <v>670</v>
      </c>
      <c r="J290" s="9">
        <v>815</v>
      </c>
      <c r="K290" s="10">
        <v>11978</v>
      </c>
      <c r="L290" s="9">
        <v>159735</v>
      </c>
      <c r="M290" s="6" t="s">
        <v>34</v>
      </c>
      <c r="N290" s="11">
        <f t="shared" si="5"/>
        <v>3.2109431245500357E-2</v>
      </c>
    </row>
    <row r="291" spans="1:14" ht="15" thickBot="1" x14ac:dyDescent="0.35">
      <c r="A291" s="6" t="s">
        <v>317</v>
      </c>
      <c r="B291" s="7" t="s">
        <v>20</v>
      </c>
      <c r="C291" s="8">
        <v>45577</v>
      </c>
      <c r="D291" s="7" t="s">
        <v>15</v>
      </c>
      <c r="E291" s="7" t="s">
        <v>122</v>
      </c>
      <c r="F291" s="7" t="s">
        <v>123</v>
      </c>
      <c r="G291" s="9">
        <v>6208</v>
      </c>
      <c r="H291" s="9">
        <v>725</v>
      </c>
      <c r="I291" s="9">
        <v>309</v>
      </c>
      <c r="J291" s="9">
        <v>848</v>
      </c>
      <c r="K291" s="10">
        <v>39319</v>
      </c>
      <c r="L291" s="9">
        <v>225763</v>
      </c>
      <c r="M291" s="6" t="s">
        <v>18</v>
      </c>
      <c r="N291" s="11">
        <f t="shared" si="5"/>
        <v>3.207788698768177E-2</v>
      </c>
    </row>
    <row r="292" spans="1:14" ht="15" thickBot="1" x14ac:dyDescent="0.35">
      <c r="A292" s="6" t="s">
        <v>291</v>
      </c>
      <c r="B292" s="7" t="s">
        <v>25</v>
      </c>
      <c r="C292" s="8">
        <v>45531</v>
      </c>
      <c r="D292" s="7" t="s">
        <v>15</v>
      </c>
      <c r="E292" s="7" t="s">
        <v>71</v>
      </c>
      <c r="F292" s="7"/>
      <c r="G292" s="9">
        <v>6324</v>
      </c>
      <c r="H292" s="9">
        <v>908</v>
      </c>
      <c r="I292" s="9">
        <v>375</v>
      </c>
      <c r="J292" s="9">
        <v>758</v>
      </c>
      <c r="K292" s="10">
        <v>34850</v>
      </c>
      <c r="L292" s="9">
        <v>241039</v>
      </c>
      <c r="M292" s="6" t="s">
        <v>18</v>
      </c>
      <c r="N292" s="11">
        <f t="shared" si="5"/>
        <v>3.1559208260903839E-2</v>
      </c>
    </row>
    <row r="293" spans="1:14" ht="15" thickBot="1" x14ac:dyDescent="0.35">
      <c r="A293" s="6" t="s">
        <v>217</v>
      </c>
      <c r="B293" s="7" t="s">
        <v>14</v>
      </c>
      <c r="C293" s="8">
        <v>45631</v>
      </c>
      <c r="D293" s="7" t="s">
        <v>26</v>
      </c>
      <c r="E293" s="7" t="s">
        <v>32</v>
      </c>
      <c r="F293" s="7" t="s">
        <v>57</v>
      </c>
      <c r="G293" s="9">
        <v>4125</v>
      </c>
      <c r="H293" s="9">
        <v>1364</v>
      </c>
      <c r="I293" s="9">
        <v>319</v>
      </c>
      <c r="J293" s="9">
        <v>2848</v>
      </c>
      <c r="K293" s="10">
        <v>15379</v>
      </c>
      <c r="L293" s="9">
        <v>188159</v>
      </c>
      <c r="M293" s="6" t="s">
        <v>52</v>
      </c>
      <c r="N293" s="11">
        <f t="shared" si="5"/>
        <v>3.0867510988047343E-2</v>
      </c>
    </row>
    <row r="294" spans="1:14" ht="15" thickBot="1" x14ac:dyDescent="0.35">
      <c r="A294" s="6" t="s">
        <v>237</v>
      </c>
      <c r="B294" s="7" t="s">
        <v>25</v>
      </c>
      <c r="C294" s="8">
        <v>45546</v>
      </c>
      <c r="D294" s="7" t="s">
        <v>15</v>
      </c>
      <c r="E294" s="7" t="s">
        <v>43</v>
      </c>
      <c r="F294" s="7" t="s">
        <v>44</v>
      </c>
      <c r="G294" s="9">
        <v>3906</v>
      </c>
      <c r="H294" s="9">
        <v>1187</v>
      </c>
      <c r="I294" s="9">
        <v>589</v>
      </c>
      <c r="J294" s="9">
        <v>401</v>
      </c>
      <c r="K294" s="10">
        <v>52687</v>
      </c>
      <c r="L294" s="9">
        <v>196498</v>
      </c>
      <c r="M294" s="6" t="s">
        <v>18</v>
      </c>
      <c r="N294" s="11">
        <f t="shared" si="5"/>
        <v>2.8916324848090057E-2</v>
      </c>
    </row>
    <row r="295" spans="1:14" ht="15" thickBot="1" x14ac:dyDescent="0.35">
      <c r="A295" s="6" t="s">
        <v>289</v>
      </c>
      <c r="B295" s="7" t="s">
        <v>14</v>
      </c>
      <c r="C295" s="8">
        <v>45669</v>
      </c>
      <c r="D295" s="7" t="s">
        <v>15</v>
      </c>
      <c r="E295" s="7" t="s">
        <v>32</v>
      </c>
      <c r="F295" s="7" t="s">
        <v>33</v>
      </c>
      <c r="G295" s="9">
        <v>4590</v>
      </c>
      <c r="H295" s="9">
        <v>713</v>
      </c>
      <c r="I295" s="9">
        <v>479</v>
      </c>
      <c r="J295" s="9">
        <v>2730</v>
      </c>
      <c r="K295" s="10">
        <v>41050</v>
      </c>
      <c r="L295" s="9">
        <v>204246</v>
      </c>
      <c r="M295" s="6" t="s">
        <v>29</v>
      </c>
      <c r="N295" s="11">
        <f t="shared" si="5"/>
        <v>2.8308999931455206E-2</v>
      </c>
    </row>
    <row r="296" spans="1:14" ht="15" thickBot="1" x14ac:dyDescent="0.35">
      <c r="A296" s="6" t="s">
        <v>280</v>
      </c>
      <c r="B296" s="7" t="s">
        <v>20</v>
      </c>
      <c r="C296" s="8">
        <v>45523</v>
      </c>
      <c r="D296" s="7" t="s">
        <v>31</v>
      </c>
      <c r="E296" s="7" t="s">
        <v>62</v>
      </c>
      <c r="F296" s="7" t="s">
        <v>37</v>
      </c>
      <c r="G296" s="9">
        <v>3605</v>
      </c>
      <c r="H296" s="9">
        <v>206</v>
      </c>
      <c r="I296" s="9">
        <v>921</v>
      </c>
      <c r="J296" s="9">
        <v>852</v>
      </c>
      <c r="K296" s="10">
        <v>11660</v>
      </c>
      <c r="L296" s="9">
        <v>182635</v>
      </c>
      <c r="M296" s="6" t="s">
        <v>34</v>
      </c>
      <c r="N296" s="11">
        <f t="shared" si="5"/>
        <v>2.590960111698196E-2</v>
      </c>
    </row>
    <row r="297" spans="1:14" ht="15" thickBot="1" x14ac:dyDescent="0.35">
      <c r="A297" s="6" t="s">
        <v>83</v>
      </c>
      <c r="B297" s="7" t="s">
        <v>14</v>
      </c>
      <c r="C297" s="8">
        <v>45915</v>
      </c>
      <c r="D297" s="7" t="s">
        <v>26</v>
      </c>
      <c r="E297" s="7" t="s">
        <v>21</v>
      </c>
      <c r="F297" s="7" t="s">
        <v>22</v>
      </c>
      <c r="G297" s="9">
        <v>5636</v>
      </c>
      <c r="H297" s="9">
        <v>303</v>
      </c>
      <c r="I297" s="9">
        <v>204</v>
      </c>
      <c r="J297" s="9">
        <v>2480</v>
      </c>
      <c r="K297" s="10">
        <v>7377</v>
      </c>
      <c r="L297" s="9">
        <v>241207</v>
      </c>
      <c r="M297" s="6" t="s">
        <v>23</v>
      </c>
      <c r="N297" s="11">
        <f t="shared" si="5"/>
        <v>2.5467751765081443E-2</v>
      </c>
    </row>
    <row r="298" spans="1:14" ht="15" thickBot="1" x14ac:dyDescent="0.35">
      <c r="A298" s="6" t="s">
        <v>120</v>
      </c>
      <c r="B298" s="7" t="s">
        <v>20</v>
      </c>
      <c r="C298" s="8">
        <v>45460</v>
      </c>
      <c r="D298" s="7" t="s">
        <v>15</v>
      </c>
      <c r="E298" s="7" t="s">
        <v>40</v>
      </c>
      <c r="F298" s="7" t="s">
        <v>41</v>
      </c>
      <c r="G298" s="9">
        <v>3252</v>
      </c>
      <c r="H298" s="9">
        <v>1043</v>
      </c>
      <c r="I298" s="9">
        <v>647</v>
      </c>
      <c r="J298" s="9">
        <v>1545</v>
      </c>
      <c r="K298" s="10">
        <v>18859</v>
      </c>
      <c r="L298" s="9">
        <v>222958</v>
      </c>
      <c r="M298" s="6" t="s">
        <v>18</v>
      </c>
      <c r="N298" s="11">
        <f t="shared" si="5"/>
        <v>2.2165609666394567E-2</v>
      </c>
    </row>
    <row r="299" spans="1:14" ht="15" thickBot="1" x14ac:dyDescent="0.35">
      <c r="A299" s="6" t="s">
        <v>232</v>
      </c>
      <c r="B299" s="7" t="s">
        <v>14</v>
      </c>
      <c r="C299" s="8">
        <v>45449</v>
      </c>
      <c r="D299" s="7" t="s">
        <v>39</v>
      </c>
      <c r="E299" s="7" t="s">
        <v>122</v>
      </c>
      <c r="F299" s="7" t="s">
        <v>123</v>
      </c>
      <c r="G299" s="9">
        <v>3531</v>
      </c>
      <c r="H299" s="9">
        <v>789</v>
      </c>
      <c r="I299" s="9">
        <v>467</v>
      </c>
      <c r="J299" s="9">
        <v>1867</v>
      </c>
      <c r="K299" s="10">
        <v>40816</v>
      </c>
      <c r="L299" s="9">
        <v>236037</v>
      </c>
      <c r="M299" s="6" t="s">
        <v>29</v>
      </c>
      <c r="N299" s="11">
        <f t="shared" si="5"/>
        <v>2.0280718700881641E-2</v>
      </c>
    </row>
    <row r="300" spans="1:14" ht="15" thickBot="1" x14ac:dyDescent="0.35">
      <c r="A300" s="6" t="s">
        <v>30</v>
      </c>
      <c r="B300" s="7" t="s">
        <v>14</v>
      </c>
      <c r="C300" s="8">
        <v>45516</v>
      </c>
      <c r="D300" s="7" t="s">
        <v>31</v>
      </c>
      <c r="E300" s="7" t="s">
        <v>32</v>
      </c>
      <c r="F300" s="7" t="s">
        <v>33</v>
      </c>
      <c r="G300" s="9">
        <v>3581</v>
      </c>
      <c r="H300" s="9">
        <v>517</v>
      </c>
      <c r="I300" s="9">
        <v>880</v>
      </c>
      <c r="J300" s="9">
        <v>1925</v>
      </c>
      <c r="K300" s="10">
        <v>18636</v>
      </c>
      <c r="L300" s="9">
        <v>248611</v>
      </c>
      <c r="M300" s="6" t="s">
        <v>34</v>
      </c>
      <c r="N300" s="11">
        <f t="shared" si="5"/>
        <v>2.0023249172401864E-2</v>
      </c>
    </row>
    <row r="301" spans="1:14" ht="15" thickBot="1" x14ac:dyDescent="0.35">
      <c r="A301" s="6" t="s">
        <v>211</v>
      </c>
      <c r="B301" s="7" t="s">
        <v>20</v>
      </c>
      <c r="C301" s="8">
        <v>45624</v>
      </c>
      <c r="D301" s="7" t="s">
        <v>39</v>
      </c>
      <c r="E301" s="7" t="s">
        <v>32</v>
      </c>
      <c r="F301" s="7" t="s">
        <v>57</v>
      </c>
      <c r="G301" s="9">
        <v>2302</v>
      </c>
      <c r="H301" s="9">
        <v>347</v>
      </c>
      <c r="I301" s="9">
        <v>642</v>
      </c>
      <c r="J301" s="9">
        <v>2175</v>
      </c>
      <c r="K301" s="10">
        <v>56378</v>
      </c>
      <c r="L301" s="9">
        <v>198056</v>
      </c>
      <c r="M301" s="6" t="s">
        <v>52</v>
      </c>
      <c r="N301" s="11">
        <f t="shared" si="5"/>
        <v>1.6616512501514722E-2</v>
      </c>
    </row>
  </sheetData>
  <sortState xmlns:xlrd2="http://schemas.microsoft.com/office/spreadsheetml/2017/richdata2" ref="A2:N301">
    <sortCondition descending="1" ref="N1:N301"/>
  </sortState>
  <mergeCells count="16">
    <mergeCell ref="P23:T25"/>
    <mergeCell ref="U23:AB23"/>
    <mergeCell ref="U24:AB25"/>
    <mergeCell ref="P32:T33"/>
    <mergeCell ref="U32:AB33"/>
    <mergeCell ref="P26:T27"/>
    <mergeCell ref="U26:AB27"/>
    <mergeCell ref="P28:T31"/>
    <mergeCell ref="U28:AB29"/>
    <mergeCell ref="U30:AB31"/>
    <mergeCell ref="P3:AC4"/>
    <mergeCell ref="P19:AB20"/>
    <mergeCell ref="P21:T22"/>
    <mergeCell ref="U21:AB22"/>
    <mergeCell ref="AE6:AJ16"/>
    <mergeCell ref="AE4:AJ5"/>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0F3682-7C2A-46F6-9260-862C8F7C99C6}">
  <sheetPr>
    <tabColor rgb="FFFFFF00"/>
  </sheetPr>
  <dimension ref="A1:O34"/>
  <sheetViews>
    <sheetView workbookViewId="0">
      <selection activeCell="E11" sqref="E11"/>
    </sheetView>
  </sheetViews>
  <sheetFormatPr defaultRowHeight="14.4" x14ac:dyDescent="0.3"/>
  <cols>
    <col min="1" max="1" width="12.5546875" bestFit="1" customWidth="1"/>
    <col min="2" max="2" width="25.88671875" bestFit="1" customWidth="1"/>
    <col min="5" max="5" width="19.33203125" customWidth="1"/>
    <col min="6" max="6" width="21" customWidth="1"/>
    <col min="7" max="7" width="16" customWidth="1"/>
    <col min="8" max="8" width="16.6640625" bestFit="1" customWidth="1"/>
    <col min="9" max="9" width="8.44140625" bestFit="1" customWidth="1"/>
    <col min="10" max="10" width="8.33203125" customWidth="1"/>
    <col min="11" max="11" width="19" customWidth="1"/>
    <col min="12" max="12" width="20.21875" customWidth="1"/>
    <col min="13" max="13" width="8.44140625" bestFit="1" customWidth="1"/>
    <col min="14" max="14" width="16.6640625" bestFit="1" customWidth="1"/>
    <col min="15" max="15" width="8.21875" bestFit="1" customWidth="1"/>
    <col min="16" max="16" width="6.88671875" bestFit="1" customWidth="1"/>
    <col min="17" max="17" width="8.44140625" bestFit="1" customWidth="1"/>
    <col min="18" max="18" width="16.33203125" bestFit="1" customWidth="1"/>
    <col min="19" max="19" width="17.88671875" bestFit="1" customWidth="1"/>
    <col min="20" max="20" width="21.5546875" bestFit="1" customWidth="1"/>
  </cols>
  <sheetData>
    <row r="1" spans="1:15" x14ac:dyDescent="0.3">
      <c r="B1" s="151" t="s">
        <v>359</v>
      </c>
      <c r="C1" s="152"/>
      <c r="D1" s="152"/>
      <c r="E1" s="152"/>
      <c r="F1" s="152"/>
      <c r="G1" s="152"/>
      <c r="H1" s="152"/>
      <c r="I1" s="152"/>
      <c r="J1" s="152"/>
      <c r="K1" s="152"/>
    </row>
    <row r="2" spans="1:15" x14ac:dyDescent="0.3">
      <c r="B2" s="152"/>
      <c r="C2" s="152"/>
      <c r="D2" s="152"/>
      <c r="E2" s="152"/>
      <c r="F2" s="152"/>
      <c r="G2" s="152"/>
      <c r="H2" s="152"/>
      <c r="I2" s="152"/>
      <c r="J2" s="152"/>
      <c r="K2" s="152"/>
    </row>
    <row r="4" spans="1:15" x14ac:dyDescent="0.3">
      <c r="E4" s="155" t="s">
        <v>391</v>
      </c>
      <c r="F4" s="156"/>
      <c r="G4" s="156"/>
      <c r="H4" s="156"/>
    </row>
    <row r="5" spans="1:15" ht="14.4" customHeight="1" x14ac:dyDescent="0.3">
      <c r="A5" s="90" t="s">
        <v>349</v>
      </c>
      <c r="B5" s="91"/>
      <c r="E5" s="156"/>
      <c r="F5" s="156"/>
      <c r="G5" s="156"/>
      <c r="H5" s="156"/>
    </row>
    <row r="6" spans="1:15" x14ac:dyDescent="0.3">
      <c r="A6" s="91"/>
      <c r="B6" s="91"/>
      <c r="E6" s="101" t="s">
        <v>354</v>
      </c>
      <c r="F6" s="91"/>
      <c r="G6" s="91"/>
      <c r="H6" s="91"/>
    </row>
    <row r="7" spans="1:15" x14ac:dyDescent="0.3">
      <c r="A7" s="12" t="s">
        <v>346</v>
      </c>
      <c r="B7" t="s">
        <v>348</v>
      </c>
      <c r="E7" s="91"/>
      <c r="F7" s="91"/>
      <c r="G7" s="91"/>
      <c r="H7" s="91"/>
    </row>
    <row r="8" spans="1:15" x14ac:dyDescent="0.3">
      <c r="A8" s="13" t="s">
        <v>25</v>
      </c>
      <c r="B8" s="11">
        <v>0.11777135601638941</v>
      </c>
      <c r="E8" s="12" t="s">
        <v>346</v>
      </c>
      <c r="F8" t="s">
        <v>351</v>
      </c>
      <c r="G8" t="s">
        <v>352</v>
      </c>
      <c r="H8" t="s">
        <v>353</v>
      </c>
      <c r="N8" s="13"/>
      <c r="O8" s="17"/>
    </row>
    <row r="9" spans="1:15" x14ac:dyDescent="0.3">
      <c r="A9" s="13" t="s">
        <v>20</v>
      </c>
      <c r="B9" s="11">
        <v>0.12413746843755116</v>
      </c>
      <c r="E9" s="13" t="s">
        <v>39</v>
      </c>
      <c r="F9" s="17">
        <v>1199672</v>
      </c>
      <c r="G9" s="17">
        <v>81330</v>
      </c>
      <c r="H9" s="17">
        <v>54382</v>
      </c>
      <c r="N9" s="13"/>
      <c r="O9" s="17"/>
    </row>
    <row r="10" spans="1:15" x14ac:dyDescent="0.3">
      <c r="A10" s="13" t="s">
        <v>47</v>
      </c>
      <c r="B10" s="11">
        <v>0.13887772583296515</v>
      </c>
      <c r="E10" s="16" t="s">
        <v>25</v>
      </c>
      <c r="F10" s="17">
        <v>278757</v>
      </c>
      <c r="G10" s="17">
        <v>16508</v>
      </c>
      <c r="H10" s="17">
        <v>13676</v>
      </c>
      <c r="N10" s="13"/>
      <c r="O10" s="17"/>
    </row>
    <row r="11" spans="1:15" x14ac:dyDescent="0.3">
      <c r="A11" s="13" t="s">
        <v>14</v>
      </c>
      <c r="B11" s="11">
        <v>0.11218828039990528</v>
      </c>
      <c r="E11" s="16" t="s">
        <v>20</v>
      </c>
      <c r="F11" s="17">
        <v>246297</v>
      </c>
      <c r="G11" s="17">
        <v>18856</v>
      </c>
      <c r="H11" s="17">
        <v>12611</v>
      </c>
      <c r="N11" s="13"/>
      <c r="O11" s="17"/>
    </row>
    <row r="12" spans="1:15" x14ac:dyDescent="0.3">
      <c r="A12" s="13" t="s">
        <v>347</v>
      </c>
      <c r="B12" s="11">
        <v>0.12284132745362925</v>
      </c>
      <c r="E12" s="16" t="s">
        <v>47</v>
      </c>
      <c r="F12" s="17">
        <v>394886</v>
      </c>
      <c r="G12" s="17">
        <v>21298</v>
      </c>
      <c r="H12" s="17">
        <v>14381</v>
      </c>
      <c r="N12" s="13"/>
      <c r="O12" s="17"/>
    </row>
    <row r="13" spans="1:15" x14ac:dyDescent="0.3">
      <c r="E13" s="16" t="s">
        <v>14</v>
      </c>
      <c r="F13" s="17">
        <v>279732</v>
      </c>
      <c r="G13" s="17">
        <v>24668</v>
      </c>
      <c r="H13" s="17">
        <v>13714</v>
      </c>
      <c r="N13" s="13"/>
      <c r="O13" s="17"/>
    </row>
    <row r="14" spans="1:15" x14ac:dyDescent="0.3">
      <c r="A14" s="153" t="s">
        <v>380</v>
      </c>
      <c r="B14" s="154"/>
      <c r="E14" s="13" t="s">
        <v>15</v>
      </c>
      <c r="F14" s="17">
        <v>891508</v>
      </c>
      <c r="G14" s="17">
        <v>57094</v>
      </c>
      <c r="H14" s="17">
        <v>39063</v>
      </c>
      <c r="N14" s="13"/>
      <c r="O14" s="17"/>
    </row>
    <row r="15" spans="1:15" x14ac:dyDescent="0.3">
      <c r="A15" s="154"/>
      <c r="B15" s="154"/>
      <c r="E15" s="16" t="s">
        <v>25</v>
      </c>
      <c r="F15" s="17">
        <v>218031</v>
      </c>
      <c r="G15" s="17">
        <v>18753</v>
      </c>
      <c r="H15" s="17">
        <v>10389</v>
      </c>
      <c r="N15" s="13"/>
      <c r="O15" s="17"/>
    </row>
    <row r="16" spans="1:15" x14ac:dyDescent="0.3">
      <c r="A16" s="154"/>
      <c r="B16" s="154"/>
      <c r="E16" s="16" t="s">
        <v>20</v>
      </c>
      <c r="F16" s="17">
        <v>329722</v>
      </c>
      <c r="G16" s="17">
        <v>19905</v>
      </c>
      <c r="H16" s="17">
        <v>14305</v>
      </c>
      <c r="N16" s="13"/>
      <c r="O16" s="17"/>
    </row>
    <row r="17" spans="1:15" x14ac:dyDescent="0.3">
      <c r="A17" s="154"/>
      <c r="B17" s="154"/>
      <c r="E17" s="16" t="s">
        <v>47</v>
      </c>
      <c r="F17" s="17">
        <v>148676</v>
      </c>
      <c r="G17" s="17">
        <v>7832</v>
      </c>
      <c r="H17" s="17">
        <v>6092</v>
      </c>
      <c r="N17" s="13"/>
      <c r="O17" s="17"/>
    </row>
    <row r="18" spans="1:15" x14ac:dyDescent="0.3">
      <c r="E18" s="16" t="s">
        <v>14</v>
      </c>
      <c r="F18" s="17">
        <v>195079</v>
      </c>
      <c r="G18" s="17">
        <v>10604</v>
      </c>
      <c r="H18" s="17">
        <v>8277</v>
      </c>
      <c r="N18" s="13"/>
      <c r="O18" s="17"/>
    </row>
    <row r="19" spans="1:15" x14ac:dyDescent="0.3">
      <c r="E19" s="13" t="s">
        <v>26</v>
      </c>
      <c r="F19" s="17">
        <v>922075</v>
      </c>
      <c r="G19" s="17">
        <v>62711</v>
      </c>
      <c r="H19" s="17">
        <v>37570</v>
      </c>
      <c r="N19" s="13"/>
      <c r="O19" s="17"/>
    </row>
    <row r="20" spans="1:15" x14ac:dyDescent="0.3">
      <c r="E20" s="16" t="s">
        <v>25</v>
      </c>
      <c r="F20" s="17">
        <v>206053</v>
      </c>
      <c r="G20" s="17">
        <v>14750</v>
      </c>
      <c r="H20" s="17">
        <v>9295</v>
      </c>
      <c r="L20" s="13"/>
      <c r="M20" s="17"/>
    </row>
    <row r="21" spans="1:15" x14ac:dyDescent="0.3">
      <c r="E21" s="16" t="s">
        <v>20</v>
      </c>
      <c r="F21" s="17">
        <v>279588</v>
      </c>
      <c r="G21" s="17">
        <v>17963</v>
      </c>
      <c r="H21" s="17">
        <v>11014</v>
      </c>
      <c r="L21" s="13"/>
      <c r="M21" s="17"/>
    </row>
    <row r="22" spans="1:15" x14ac:dyDescent="0.3">
      <c r="E22" s="16" t="s">
        <v>47</v>
      </c>
      <c r="F22" s="17">
        <v>249305</v>
      </c>
      <c r="G22" s="17">
        <v>15862</v>
      </c>
      <c r="H22" s="17">
        <v>9160</v>
      </c>
      <c r="L22" s="13"/>
      <c r="M22" s="17"/>
    </row>
    <row r="23" spans="1:15" x14ac:dyDescent="0.3">
      <c r="E23" s="16" t="s">
        <v>14</v>
      </c>
      <c r="F23" s="17">
        <v>187129</v>
      </c>
      <c r="G23" s="17">
        <v>14136</v>
      </c>
      <c r="H23" s="17">
        <v>8101</v>
      </c>
      <c r="L23" s="13"/>
      <c r="M23" s="17"/>
    </row>
    <row r="24" spans="1:15" x14ac:dyDescent="0.3">
      <c r="E24" s="13" t="s">
        <v>31</v>
      </c>
      <c r="F24" s="17">
        <v>1054188</v>
      </c>
      <c r="G24" s="17">
        <v>60151</v>
      </c>
      <c r="H24" s="17">
        <v>41373</v>
      </c>
      <c r="L24" s="13"/>
      <c r="M24" s="17"/>
    </row>
    <row r="25" spans="1:15" x14ac:dyDescent="0.3">
      <c r="E25" s="16" t="s">
        <v>25</v>
      </c>
      <c r="F25" s="17">
        <v>244355</v>
      </c>
      <c r="G25" s="17">
        <v>13194</v>
      </c>
      <c r="H25" s="17">
        <v>7426</v>
      </c>
      <c r="L25" s="13"/>
      <c r="M25" s="17"/>
    </row>
    <row r="26" spans="1:15" x14ac:dyDescent="0.3">
      <c r="E26" s="16" t="s">
        <v>20</v>
      </c>
      <c r="F26" s="17">
        <v>278759</v>
      </c>
      <c r="G26" s="17">
        <v>14236</v>
      </c>
      <c r="H26" s="17">
        <v>11770</v>
      </c>
      <c r="L26" s="13"/>
      <c r="M26" s="17"/>
    </row>
    <row r="27" spans="1:15" x14ac:dyDescent="0.3">
      <c r="E27" s="16" t="s">
        <v>47</v>
      </c>
      <c r="F27" s="17">
        <v>244756</v>
      </c>
      <c r="G27" s="17">
        <v>14669</v>
      </c>
      <c r="H27" s="17">
        <v>9640</v>
      </c>
      <c r="L27" s="13"/>
      <c r="M27" s="17"/>
    </row>
    <row r="28" spans="1:15" x14ac:dyDescent="0.3">
      <c r="E28" s="16" t="s">
        <v>14</v>
      </c>
      <c r="F28" s="17">
        <v>286318</v>
      </c>
      <c r="G28" s="17">
        <v>18052</v>
      </c>
      <c r="H28" s="17">
        <v>12537</v>
      </c>
      <c r="L28" s="13"/>
      <c r="M28" s="17"/>
    </row>
    <row r="29" spans="1:15" x14ac:dyDescent="0.3">
      <c r="E29" s="13" t="s">
        <v>347</v>
      </c>
      <c r="F29" s="17">
        <v>4067443</v>
      </c>
      <c r="G29" s="17">
        <v>261286</v>
      </c>
      <c r="H29" s="17">
        <v>172388</v>
      </c>
    </row>
    <row r="31" spans="1:15" ht="14.4" customHeight="1" x14ac:dyDescent="0.3">
      <c r="E31" s="149" t="s">
        <v>381</v>
      </c>
      <c r="F31" s="150"/>
      <c r="G31" s="150"/>
      <c r="H31" s="150"/>
    </row>
    <row r="32" spans="1:15" x14ac:dyDescent="0.3">
      <c r="E32" s="150"/>
      <c r="F32" s="150"/>
      <c r="G32" s="150"/>
      <c r="H32" s="150"/>
    </row>
    <row r="33" spans="5:8" ht="14.4" customHeight="1" x14ac:dyDescent="0.3">
      <c r="E33" s="150"/>
      <c r="F33" s="150"/>
      <c r="G33" s="150"/>
      <c r="H33" s="150"/>
    </row>
    <row r="34" spans="5:8" x14ac:dyDescent="0.3">
      <c r="E34" s="150"/>
      <c r="F34" s="150"/>
      <c r="G34" s="150"/>
      <c r="H34" s="150"/>
    </row>
  </sheetData>
  <mergeCells count="6">
    <mergeCell ref="E31:H34"/>
    <mergeCell ref="B1:K2"/>
    <mergeCell ref="A5:B6"/>
    <mergeCell ref="E6:H7"/>
    <mergeCell ref="A14:B17"/>
    <mergeCell ref="E4:H5"/>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726980-71B6-4B34-AE3B-D0B5534FD71C}">
  <sheetPr>
    <tabColor rgb="FF00B0F0"/>
  </sheetPr>
  <dimension ref="A1:O572"/>
  <sheetViews>
    <sheetView zoomScale="85" zoomScaleNormal="85" workbookViewId="0">
      <selection activeCell="D4" sqref="D4:F21"/>
    </sheetView>
  </sheetViews>
  <sheetFormatPr defaultRowHeight="14.4" x14ac:dyDescent="0.3"/>
  <cols>
    <col min="1" max="1" width="15.21875" customWidth="1"/>
    <col min="2" max="2" width="13.109375" customWidth="1"/>
    <col min="4" max="4" width="18.5546875" bestFit="1" customWidth="1"/>
    <col min="5" max="5" width="17" bestFit="1" customWidth="1"/>
    <col min="8" max="8" width="15.44140625" bestFit="1" customWidth="1"/>
    <col min="9" max="9" width="16.44140625" bestFit="1" customWidth="1"/>
    <col min="12" max="12" width="18.5546875" bestFit="1" customWidth="1"/>
    <col min="13" max="13" width="17" bestFit="1" customWidth="1"/>
    <col min="14" max="14" width="17.109375" customWidth="1"/>
    <col min="15" max="15" width="27.44140625" customWidth="1"/>
  </cols>
  <sheetData>
    <row r="1" spans="1:14" ht="14.4" customHeight="1" x14ac:dyDescent="0.3">
      <c r="B1" s="157" t="s">
        <v>365</v>
      </c>
      <c r="C1" s="157"/>
      <c r="D1" s="157"/>
      <c r="E1" s="157"/>
      <c r="F1" s="157"/>
      <c r="G1" s="157"/>
      <c r="H1" s="157"/>
      <c r="I1" s="157"/>
      <c r="J1" s="157"/>
      <c r="K1" s="157"/>
      <c r="L1" s="157"/>
      <c r="M1" s="157"/>
      <c r="N1" s="157"/>
    </row>
    <row r="2" spans="1:14" ht="14.4" customHeight="1" x14ac:dyDescent="0.3">
      <c r="B2" s="157"/>
      <c r="C2" s="157"/>
      <c r="D2" s="157"/>
      <c r="E2" s="157"/>
      <c r="F2" s="157"/>
      <c r="G2" s="157"/>
      <c r="H2" s="157"/>
      <c r="I2" s="157"/>
      <c r="J2" s="157"/>
      <c r="K2" s="157"/>
      <c r="L2" s="157"/>
      <c r="M2" s="157"/>
      <c r="N2" s="157"/>
    </row>
    <row r="3" spans="1:14" ht="14.4" customHeight="1" x14ac:dyDescent="0.3"/>
    <row r="4" spans="1:14" x14ac:dyDescent="0.3">
      <c r="D4" s="158" t="s">
        <v>390</v>
      </c>
      <c r="E4" s="159"/>
      <c r="F4" s="159"/>
    </row>
    <row r="5" spans="1:14" ht="15" thickBot="1" x14ac:dyDescent="0.35">
      <c r="A5" s="19" t="s">
        <v>360</v>
      </c>
      <c r="B5" s="19" t="s">
        <v>361</v>
      </c>
      <c r="D5" s="160"/>
      <c r="E5" s="160"/>
      <c r="F5" s="160"/>
    </row>
    <row r="6" spans="1:14" ht="18" customHeight="1" x14ac:dyDescent="0.3">
      <c r="A6" s="18" t="s">
        <v>40</v>
      </c>
      <c r="B6" s="9">
        <v>1519</v>
      </c>
      <c r="D6" s="97" t="s">
        <v>364</v>
      </c>
      <c r="E6" s="161"/>
      <c r="F6" s="162"/>
      <c r="H6" s="168" t="s">
        <v>384</v>
      </c>
      <c r="I6" s="168"/>
      <c r="J6" s="168"/>
      <c r="K6" s="168"/>
      <c r="L6" s="168"/>
    </row>
    <row r="7" spans="1:14" ht="15" customHeight="1" thickBot="1" x14ac:dyDescent="0.35">
      <c r="A7" s="7" t="s">
        <v>37</v>
      </c>
      <c r="B7" s="9">
        <v>1995</v>
      </c>
      <c r="D7" s="163"/>
      <c r="E7" s="164"/>
      <c r="F7" s="165"/>
      <c r="H7" s="168"/>
      <c r="I7" s="168"/>
      <c r="J7" s="168"/>
      <c r="K7" s="168"/>
      <c r="L7" s="168"/>
    </row>
    <row r="8" spans="1:14" ht="15" customHeight="1" thickBot="1" x14ac:dyDescent="0.35">
      <c r="A8" s="7" t="s">
        <v>16</v>
      </c>
      <c r="B8" s="9">
        <v>1398</v>
      </c>
      <c r="D8" s="55" t="s">
        <v>346</v>
      </c>
      <c r="E8" s="60" t="s">
        <v>362</v>
      </c>
      <c r="F8" s="48" t="s">
        <v>363</v>
      </c>
      <c r="H8" s="168"/>
      <c r="I8" s="168"/>
      <c r="J8" s="168"/>
      <c r="K8" s="168"/>
      <c r="L8" s="168"/>
    </row>
    <row r="9" spans="1:14" ht="14.4" customHeight="1" x14ac:dyDescent="0.3">
      <c r="A9" s="7" t="s">
        <v>32</v>
      </c>
      <c r="B9" s="9">
        <v>320</v>
      </c>
      <c r="D9" s="56" t="s">
        <v>27</v>
      </c>
      <c r="E9" s="52">
        <v>1592.72</v>
      </c>
      <c r="F9" s="49">
        <v>6</v>
      </c>
      <c r="H9" s="168"/>
      <c r="I9" s="168"/>
      <c r="J9" s="168"/>
      <c r="K9" s="168"/>
      <c r="L9" s="168"/>
    </row>
    <row r="10" spans="1:14" ht="14.4" customHeight="1" x14ac:dyDescent="0.3">
      <c r="A10" s="7" t="s">
        <v>40</v>
      </c>
      <c r="B10" s="9">
        <v>1624</v>
      </c>
      <c r="D10" s="57" t="s">
        <v>122</v>
      </c>
      <c r="E10" s="53">
        <v>1459.3076923076924</v>
      </c>
      <c r="F10" s="49">
        <v>10</v>
      </c>
      <c r="H10" s="168"/>
      <c r="I10" s="168"/>
      <c r="J10" s="168"/>
      <c r="K10" s="168"/>
      <c r="L10" s="168"/>
    </row>
    <row r="11" spans="1:14" ht="14.4" customHeight="1" x14ac:dyDescent="0.3">
      <c r="A11" s="7" t="s">
        <v>32</v>
      </c>
      <c r="B11" s="9">
        <v>2010</v>
      </c>
      <c r="D11" s="57" t="s">
        <v>32</v>
      </c>
      <c r="E11" s="53">
        <v>1541.3725490196077</v>
      </c>
      <c r="F11" s="49">
        <v>7</v>
      </c>
      <c r="H11" s="168"/>
      <c r="I11" s="168"/>
      <c r="J11" s="168"/>
      <c r="K11" s="168"/>
      <c r="L11" s="168"/>
    </row>
    <row r="12" spans="1:14" ht="14.4" customHeight="1" x14ac:dyDescent="0.3">
      <c r="A12" s="7" t="s">
        <v>32</v>
      </c>
      <c r="B12" s="9">
        <v>458</v>
      </c>
      <c r="D12" s="57" t="s">
        <v>41</v>
      </c>
      <c r="E12" s="53">
        <v>1519</v>
      </c>
      <c r="F12" s="50">
        <v>8</v>
      </c>
      <c r="H12" s="168"/>
      <c r="I12" s="168"/>
      <c r="J12" s="168"/>
      <c r="K12" s="168"/>
      <c r="L12" s="168"/>
    </row>
    <row r="13" spans="1:14" ht="15" customHeight="1" thickBot="1" x14ac:dyDescent="0.35">
      <c r="A13" s="7" t="s">
        <v>43</v>
      </c>
      <c r="B13" s="9">
        <v>1628</v>
      </c>
      <c r="D13" s="57" t="s">
        <v>40</v>
      </c>
      <c r="E13" s="53">
        <v>1463.2941176470588</v>
      </c>
      <c r="F13" s="51">
        <v>9</v>
      </c>
      <c r="H13" s="168"/>
      <c r="I13" s="168"/>
      <c r="J13" s="168"/>
      <c r="K13" s="168"/>
      <c r="L13" s="168"/>
    </row>
    <row r="14" spans="1:14" ht="15" thickBot="1" x14ac:dyDescent="0.35">
      <c r="A14" s="7" t="s">
        <v>40</v>
      </c>
      <c r="B14" s="9">
        <v>934</v>
      </c>
      <c r="D14" s="57" t="s">
        <v>43</v>
      </c>
      <c r="E14" s="53">
        <v>1711.5135135135135</v>
      </c>
      <c r="F14" s="51">
        <v>2</v>
      </c>
      <c r="I14" s="62"/>
    </row>
    <row r="15" spans="1:14" ht="15" thickBot="1" x14ac:dyDescent="0.35">
      <c r="A15" s="7" t="s">
        <v>21</v>
      </c>
      <c r="B15" s="9">
        <v>1689</v>
      </c>
      <c r="D15" s="57" t="s">
        <v>16</v>
      </c>
      <c r="E15" s="53">
        <v>1674.96</v>
      </c>
      <c r="F15" s="51">
        <v>5</v>
      </c>
    </row>
    <row r="16" spans="1:14" ht="15" thickBot="1" x14ac:dyDescent="0.35">
      <c r="A16" s="7" t="s">
        <v>43</v>
      </c>
      <c r="B16" s="9">
        <v>1330</v>
      </c>
      <c r="D16" s="57" t="s">
        <v>48</v>
      </c>
      <c r="E16" s="53">
        <v>1811.3103448275863</v>
      </c>
      <c r="F16" s="51">
        <v>1</v>
      </c>
    </row>
    <row r="17" spans="1:15" ht="15" thickBot="1" x14ac:dyDescent="0.35">
      <c r="A17" s="7" t="s">
        <v>16</v>
      </c>
      <c r="B17" s="9">
        <v>416</v>
      </c>
      <c r="D17" s="57" t="s">
        <v>62</v>
      </c>
      <c r="E17" s="53">
        <v>1706.76</v>
      </c>
      <c r="F17" s="51">
        <v>3</v>
      </c>
    </row>
    <row r="18" spans="1:15" ht="15" thickBot="1" x14ac:dyDescent="0.35">
      <c r="A18" s="7" t="s">
        <v>32</v>
      </c>
      <c r="B18" s="9">
        <v>814</v>
      </c>
      <c r="D18" s="57" t="s">
        <v>21</v>
      </c>
      <c r="E18" s="53">
        <v>1680.3571428571429</v>
      </c>
      <c r="F18" s="51">
        <v>4</v>
      </c>
    </row>
    <row r="19" spans="1:15" ht="14.4" customHeight="1" thickBot="1" x14ac:dyDescent="0.35">
      <c r="A19" s="7" t="s">
        <v>27</v>
      </c>
      <c r="B19" s="9">
        <v>405</v>
      </c>
      <c r="D19" s="57" t="s">
        <v>71</v>
      </c>
      <c r="E19" s="53">
        <v>1289.4117647058824</v>
      </c>
      <c r="F19" s="51">
        <v>11</v>
      </c>
      <c r="N19" s="171" t="s">
        <v>393</v>
      </c>
      <c r="O19" s="170"/>
    </row>
    <row r="20" spans="1:15" ht="14.4" customHeight="1" thickBot="1" x14ac:dyDescent="0.35">
      <c r="A20" s="7" t="s">
        <v>21</v>
      </c>
      <c r="B20" s="9">
        <v>2553</v>
      </c>
      <c r="D20" s="58" t="s">
        <v>37</v>
      </c>
      <c r="E20" s="53">
        <v>1592.9375</v>
      </c>
      <c r="F20" s="51">
        <v>6</v>
      </c>
      <c r="N20" s="170"/>
      <c r="O20" s="170"/>
    </row>
    <row r="21" spans="1:15" ht="15" thickBot="1" x14ac:dyDescent="0.35">
      <c r="A21" s="7" t="s">
        <v>71</v>
      </c>
      <c r="B21" s="9">
        <v>890</v>
      </c>
      <c r="D21" s="59" t="s">
        <v>347</v>
      </c>
      <c r="E21" s="54">
        <v>1606.392026578073</v>
      </c>
      <c r="F21" s="51"/>
      <c r="H21" s="168" t="s">
        <v>383</v>
      </c>
      <c r="I21" s="169"/>
      <c r="J21" s="169"/>
      <c r="K21" s="169"/>
      <c r="L21" s="169"/>
      <c r="N21" s="166" t="s">
        <v>382</v>
      </c>
      <c r="O21" s="93"/>
    </row>
    <row r="22" spans="1:15" ht="15" thickBot="1" x14ac:dyDescent="0.35">
      <c r="A22" s="7" t="s">
        <v>40</v>
      </c>
      <c r="B22" s="9">
        <v>1091</v>
      </c>
      <c r="H22" s="169"/>
      <c r="I22" s="169"/>
      <c r="J22" s="169"/>
      <c r="K22" s="169"/>
      <c r="L22" s="169"/>
      <c r="N22" s="167"/>
      <c r="O22" s="167"/>
    </row>
    <row r="23" spans="1:15" ht="15" thickBot="1" x14ac:dyDescent="0.35">
      <c r="A23" s="7" t="s">
        <v>37</v>
      </c>
      <c r="B23" s="9">
        <v>2187</v>
      </c>
      <c r="H23" s="169"/>
      <c r="I23" s="169"/>
      <c r="J23" s="169"/>
      <c r="K23" s="169"/>
      <c r="L23" s="169"/>
      <c r="N23" s="55" t="s">
        <v>346</v>
      </c>
      <c r="O23" s="60" t="s">
        <v>362</v>
      </c>
    </row>
    <row r="24" spans="1:15" x14ac:dyDescent="0.3">
      <c r="A24" s="7" t="s">
        <v>71</v>
      </c>
      <c r="B24" s="9">
        <v>513</v>
      </c>
      <c r="H24" s="169"/>
      <c r="I24" s="169"/>
      <c r="J24" s="169"/>
      <c r="K24" s="169"/>
      <c r="L24" s="169"/>
      <c r="N24" s="63" t="s">
        <v>27</v>
      </c>
      <c r="O24" s="52">
        <v>1592.72</v>
      </c>
    </row>
    <row r="25" spans="1:15" x14ac:dyDescent="0.3">
      <c r="A25" s="7" t="s">
        <v>27</v>
      </c>
      <c r="B25" s="9">
        <v>1233</v>
      </c>
      <c r="H25" s="169"/>
      <c r="I25" s="169"/>
      <c r="J25" s="169"/>
      <c r="K25" s="169"/>
      <c r="L25" s="169"/>
      <c r="N25" s="63" t="s">
        <v>122</v>
      </c>
      <c r="O25" s="53">
        <v>1459.3076923076924</v>
      </c>
    </row>
    <row r="26" spans="1:15" x14ac:dyDescent="0.3">
      <c r="A26" s="7" t="s">
        <v>16</v>
      </c>
      <c r="B26" s="9">
        <v>1213</v>
      </c>
      <c r="H26" s="169"/>
      <c r="I26" s="169"/>
      <c r="J26" s="169"/>
      <c r="K26" s="169"/>
      <c r="L26" s="169"/>
      <c r="N26" s="63" t="s">
        <v>32</v>
      </c>
      <c r="O26" s="53">
        <v>1541.3725490196077</v>
      </c>
    </row>
    <row r="27" spans="1:15" x14ac:dyDescent="0.3">
      <c r="A27" s="7" t="s">
        <v>16</v>
      </c>
      <c r="B27" s="9">
        <v>1288</v>
      </c>
      <c r="H27" s="169"/>
      <c r="I27" s="169"/>
      <c r="J27" s="169"/>
      <c r="K27" s="169"/>
      <c r="L27" s="169"/>
      <c r="N27" s="63" t="s">
        <v>41</v>
      </c>
      <c r="O27" s="53">
        <v>1519</v>
      </c>
    </row>
    <row r="28" spans="1:15" x14ac:dyDescent="0.3">
      <c r="A28" s="7" t="s">
        <v>62</v>
      </c>
      <c r="B28" s="9">
        <v>819</v>
      </c>
      <c r="H28" s="169"/>
      <c r="I28" s="169"/>
      <c r="J28" s="169"/>
      <c r="K28" s="169"/>
      <c r="L28" s="169"/>
      <c r="N28" s="63" t="s">
        <v>40</v>
      </c>
      <c r="O28" s="53">
        <v>1463.2941176470588</v>
      </c>
    </row>
    <row r="29" spans="1:15" x14ac:dyDescent="0.3">
      <c r="A29" s="7" t="s">
        <v>21</v>
      </c>
      <c r="B29" s="9">
        <v>2009</v>
      </c>
      <c r="H29" s="169"/>
      <c r="I29" s="169"/>
      <c r="J29" s="169"/>
      <c r="K29" s="169"/>
      <c r="L29" s="169"/>
      <c r="N29" s="63" t="s">
        <v>43</v>
      </c>
      <c r="O29" s="53">
        <v>1711.5135135135135</v>
      </c>
    </row>
    <row r="30" spans="1:15" x14ac:dyDescent="0.3">
      <c r="A30" s="7" t="s">
        <v>62</v>
      </c>
      <c r="B30" s="9">
        <v>2387</v>
      </c>
      <c r="N30" s="63" t="s">
        <v>16</v>
      </c>
      <c r="O30" s="53">
        <v>1674.96</v>
      </c>
    </row>
    <row r="31" spans="1:15" x14ac:dyDescent="0.3">
      <c r="A31" s="7" t="s">
        <v>62</v>
      </c>
      <c r="B31" s="9">
        <v>550</v>
      </c>
      <c r="N31" s="63" t="s">
        <v>48</v>
      </c>
      <c r="O31" s="53">
        <v>1811.3103448275863</v>
      </c>
    </row>
    <row r="32" spans="1:15" x14ac:dyDescent="0.3">
      <c r="A32" s="7" t="s">
        <v>37</v>
      </c>
      <c r="B32" s="9">
        <v>871</v>
      </c>
      <c r="N32" s="63" t="s">
        <v>62</v>
      </c>
      <c r="O32" s="53">
        <v>1706.76</v>
      </c>
    </row>
    <row r="33" spans="1:15" x14ac:dyDescent="0.3">
      <c r="A33" s="7" t="s">
        <v>16</v>
      </c>
      <c r="B33" s="9">
        <v>2463</v>
      </c>
      <c r="N33" s="63" t="s">
        <v>21</v>
      </c>
      <c r="O33" s="53">
        <v>1680.3571428571429</v>
      </c>
    </row>
    <row r="34" spans="1:15" x14ac:dyDescent="0.3">
      <c r="A34" s="7" t="s">
        <v>43</v>
      </c>
      <c r="B34" s="9">
        <v>888</v>
      </c>
      <c r="N34" s="63" t="s">
        <v>71</v>
      </c>
      <c r="O34" s="53">
        <v>1289.4117647058824</v>
      </c>
    </row>
    <row r="35" spans="1:15" ht="15" thickBot="1" x14ac:dyDescent="0.35">
      <c r="A35" s="7" t="s">
        <v>37</v>
      </c>
      <c r="B35" s="9">
        <v>753</v>
      </c>
      <c r="N35" s="63" t="s">
        <v>37</v>
      </c>
      <c r="O35" s="53">
        <v>1592.9375</v>
      </c>
    </row>
    <row r="36" spans="1:15" ht="15" thickBot="1" x14ac:dyDescent="0.35">
      <c r="A36" s="7" t="s">
        <v>40</v>
      </c>
      <c r="B36" s="9">
        <v>1256</v>
      </c>
      <c r="N36" s="59" t="s">
        <v>347</v>
      </c>
      <c r="O36" s="54">
        <v>1606.392026578073</v>
      </c>
    </row>
    <row r="37" spans="1:15" x14ac:dyDescent="0.3">
      <c r="A37" s="7" t="s">
        <v>27</v>
      </c>
      <c r="B37" s="9">
        <v>906</v>
      </c>
    </row>
    <row r="38" spans="1:15" ht="15" thickBot="1" x14ac:dyDescent="0.35">
      <c r="A38" s="7" t="s">
        <v>71</v>
      </c>
      <c r="B38" s="9">
        <v>2364</v>
      </c>
    </row>
    <row r="39" spans="1:15" x14ac:dyDescent="0.3">
      <c r="A39" s="7" t="s">
        <v>43</v>
      </c>
      <c r="B39" s="9">
        <v>2048</v>
      </c>
    </row>
    <row r="40" spans="1:15" x14ac:dyDescent="0.3">
      <c r="A40" s="7" t="s">
        <v>48</v>
      </c>
      <c r="B40" s="9">
        <v>2807</v>
      </c>
    </row>
    <row r="41" spans="1:15" x14ac:dyDescent="0.3">
      <c r="A41" s="7" t="s">
        <v>122</v>
      </c>
      <c r="B41" s="9">
        <v>1186</v>
      </c>
    </row>
    <row r="42" spans="1:15" x14ac:dyDescent="0.3">
      <c r="A42" s="7" t="s">
        <v>62</v>
      </c>
      <c r="B42" s="9">
        <v>2001</v>
      </c>
    </row>
    <row r="43" spans="1:15" x14ac:dyDescent="0.3">
      <c r="A43" s="7" t="s">
        <v>32</v>
      </c>
      <c r="B43" s="9">
        <v>725</v>
      </c>
    </row>
    <row r="44" spans="1:15" x14ac:dyDescent="0.3">
      <c r="A44" s="7" t="s">
        <v>122</v>
      </c>
      <c r="B44" s="9">
        <v>465</v>
      </c>
    </row>
    <row r="45" spans="1:15" x14ac:dyDescent="0.3">
      <c r="A45" s="7" t="s">
        <v>40</v>
      </c>
      <c r="B45" s="9">
        <v>1624</v>
      </c>
    </row>
    <row r="46" spans="1:15" x14ac:dyDescent="0.3">
      <c r="A46" s="7" t="s">
        <v>40</v>
      </c>
      <c r="B46" s="9">
        <v>321</v>
      </c>
    </row>
    <row r="47" spans="1:15" x14ac:dyDescent="0.3">
      <c r="A47" s="7" t="s">
        <v>32</v>
      </c>
      <c r="B47" s="9">
        <v>1293</v>
      </c>
    </row>
    <row r="48" spans="1:15" x14ac:dyDescent="0.3">
      <c r="A48" s="7" t="s">
        <v>32</v>
      </c>
      <c r="B48" s="9">
        <v>856</v>
      </c>
    </row>
    <row r="49" spans="1:2" x14ac:dyDescent="0.3">
      <c r="A49" s="7" t="s">
        <v>48</v>
      </c>
      <c r="B49" s="9">
        <v>2354</v>
      </c>
    </row>
    <row r="50" spans="1:2" x14ac:dyDescent="0.3">
      <c r="A50" s="7" t="s">
        <v>21</v>
      </c>
      <c r="B50" s="9">
        <v>1860</v>
      </c>
    </row>
    <row r="51" spans="1:2" x14ac:dyDescent="0.3">
      <c r="A51" s="7" t="s">
        <v>48</v>
      </c>
      <c r="B51" s="9">
        <v>321</v>
      </c>
    </row>
    <row r="52" spans="1:2" x14ac:dyDescent="0.3">
      <c r="A52" s="7" t="s">
        <v>16</v>
      </c>
      <c r="B52" s="9">
        <v>826</v>
      </c>
    </row>
    <row r="53" spans="1:2" x14ac:dyDescent="0.3">
      <c r="A53" s="7" t="s">
        <v>48</v>
      </c>
      <c r="B53" s="9">
        <v>1573</v>
      </c>
    </row>
    <row r="54" spans="1:2" x14ac:dyDescent="0.3">
      <c r="A54" s="7" t="s">
        <v>21</v>
      </c>
      <c r="B54" s="9">
        <v>1649</v>
      </c>
    </row>
    <row r="55" spans="1:2" x14ac:dyDescent="0.3">
      <c r="A55" s="7" t="s">
        <v>43</v>
      </c>
      <c r="B55" s="9">
        <v>1288</v>
      </c>
    </row>
    <row r="56" spans="1:2" x14ac:dyDescent="0.3">
      <c r="A56" s="7" t="s">
        <v>32</v>
      </c>
      <c r="B56" s="9">
        <v>1168</v>
      </c>
    </row>
    <row r="57" spans="1:2" x14ac:dyDescent="0.3">
      <c r="A57" s="7" t="s">
        <v>122</v>
      </c>
      <c r="B57" s="9">
        <v>1003</v>
      </c>
    </row>
    <row r="58" spans="1:2" x14ac:dyDescent="0.3">
      <c r="A58" s="7" t="s">
        <v>48</v>
      </c>
      <c r="B58" s="9">
        <v>2710</v>
      </c>
    </row>
    <row r="59" spans="1:2" x14ac:dyDescent="0.3">
      <c r="A59" s="7" t="s">
        <v>122</v>
      </c>
      <c r="B59" s="9">
        <v>1350</v>
      </c>
    </row>
    <row r="60" spans="1:2" x14ac:dyDescent="0.3">
      <c r="A60" s="7" t="s">
        <v>37</v>
      </c>
      <c r="B60" s="9">
        <v>2286</v>
      </c>
    </row>
    <row r="61" spans="1:2" x14ac:dyDescent="0.3">
      <c r="A61" s="7" t="s">
        <v>48</v>
      </c>
      <c r="B61" s="9">
        <v>1284</v>
      </c>
    </row>
    <row r="62" spans="1:2" x14ac:dyDescent="0.3">
      <c r="A62" s="7" t="s">
        <v>32</v>
      </c>
      <c r="B62" s="9">
        <v>1092</v>
      </c>
    </row>
    <row r="63" spans="1:2" x14ac:dyDescent="0.3">
      <c r="A63" s="7" t="s">
        <v>32</v>
      </c>
      <c r="B63" s="9">
        <v>2072</v>
      </c>
    </row>
    <row r="64" spans="1:2" x14ac:dyDescent="0.3">
      <c r="A64" s="7" t="s">
        <v>16</v>
      </c>
      <c r="B64" s="9">
        <v>1862</v>
      </c>
    </row>
    <row r="65" spans="1:2" x14ac:dyDescent="0.3">
      <c r="A65" s="7" t="s">
        <v>40</v>
      </c>
      <c r="B65" s="9">
        <v>2748</v>
      </c>
    </row>
    <row r="66" spans="1:2" x14ac:dyDescent="0.3">
      <c r="A66" s="7" t="s">
        <v>62</v>
      </c>
      <c r="B66" s="9">
        <v>1354</v>
      </c>
    </row>
    <row r="67" spans="1:2" x14ac:dyDescent="0.3">
      <c r="A67" s="7" t="s">
        <v>32</v>
      </c>
      <c r="B67" s="9">
        <v>2037</v>
      </c>
    </row>
    <row r="68" spans="1:2" x14ac:dyDescent="0.3">
      <c r="A68" s="7" t="s">
        <v>62</v>
      </c>
      <c r="B68" s="9">
        <v>992</v>
      </c>
    </row>
    <row r="69" spans="1:2" x14ac:dyDescent="0.3">
      <c r="A69" s="7" t="s">
        <v>21</v>
      </c>
      <c r="B69" s="9">
        <v>1259</v>
      </c>
    </row>
    <row r="70" spans="1:2" x14ac:dyDescent="0.3">
      <c r="A70" s="7" t="s">
        <v>122</v>
      </c>
      <c r="B70" s="9">
        <v>891</v>
      </c>
    </row>
    <row r="71" spans="1:2" x14ac:dyDescent="0.3">
      <c r="A71" s="7" t="s">
        <v>16</v>
      </c>
      <c r="B71" s="9">
        <v>1547</v>
      </c>
    </row>
    <row r="72" spans="1:2" x14ac:dyDescent="0.3">
      <c r="A72" s="7" t="s">
        <v>40</v>
      </c>
      <c r="B72" s="9">
        <v>2469</v>
      </c>
    </row>
    <row r="73" spans="1:2" x14ac:dyDescent="0.3">
      <c r="A73" s="7" t="s">
        <v>16</v>
      </c>
      <c r="B73" s="9">
        <v>1655</v>
      </c>
    </row>
    <row r="74" spans="1:2" x14ac:dyDescent="0.3">
      <c r="A74" s="7" t="s">
        <v>32</v>
      </c>
      <c r="B74" s="9">
        <v>659</v>
      </c>
    </row>
    <row r="75" spans="1:2" x14ac:dyDescent="0.3">
      <c r="A75" s="7" t="s">
        <v>27</v>
      </c>
      <c r="B75" s="9">
        <v>1735</v>
      </c>
    </row>
    <row r="76" spans="1:2" x14ac:dyDescent="0.3">
      <c r="A76" s="7" t="s">
        <v>37</v>
      </c>
      <c r="B76" s="9">
        <v>2358</v>
      </c>
    </row>
    <row r="77" spans="1:2" x14ac:dyDescent="0.3">
      <c r="A77" s="7" t="s">
        <v>40</v>
      </c>
      <c r="B77" s="9">
        <v>2703</v>
      </c>
    </row>
    <row r="78" spans="1:2" x14ac:dyDescent="0.3">
      <c r="A78" s="7" t="s">
        <v>21</v>
      </c>
      <c r="B78" s="9">
        <v>2276</v>
      </c>
    </row>
    <row r="79" spans="1:2" x14ac:dyDescent="0.3">
      <c r="A79" s="7" t="s">
        <v>43</v>
      </c>
      <c r="B79" s="9">
        <v>2354</v>
      </c>
    </row>
    <row r="80" spans="1:2" x14ac:dyDescent="0.3">
      <c r="A80" s="7" t="s">
        <v>48</v>
      </c>
      <c r="B80" s="9">
        <v>2682</v>
      </c>
    </row>
    <row r="81" spans="1:2" x14ac:dyDescent="0.3">
      <c r="A81" s="7" t="s">
        <v>62</v>
      </c>
      <c r="B81" s="9">
        <v>1049</v>
      </c>
    </row>
    <row r="82" spans="1:2" x14ac:dyDescent="0.3">
      <c r="A82" s="7" t="s">
        <v>43</v>
      </c>
      <c r="B82" s="9">
        <v>1206</v>
      </c>
    </row>
    <row r="83" spans="1:2" x14ac:dyDescent="0.3">
      <c r="A83" s="7" t="s">
        <v>32</v>
      </c>
      <c r="B83" s="9">
        <v>1407</v>
      </c>
    </row>
    <row r="84" spans="1:2" x14ac:dyDescent="0.3">
      <c r="A84" s="7" t="s">
        <v>27</v>
      </c>
      <c r="B84" s="9">
        <v>2728</v>
      </c>
    </row>
    <row r="85" spans="1:2" x14ac:dyDescent="0.3">
      <c r="A85" s="7" t="s">
        <v>40</v>
      </c>
      <c r="B85" s="9">
        <v>1641</v>
      </c>
    </row>
    <row r="86" spans="1:2" x14ac:dyDescent="0.3">
      <c r="A86" s="7" t="s">
        <v>16</v>
      </c>
      <c r="B86" s="9">
        <v>2546</v>
      </c>
    </row>
    <row r="87" spans="1:2" x14ac:dyDescent="0.3">
      <c r="A87" s="7" t="s">
        <v>43</v>
      </c>
      <c r="B87" s="9">
        <v>2225</v>
      </c>
    </row>
    <row r="88" spans="1:2" x14ac:dyDescent="0.3">
      <c r="A88" s="7" t="s">
        <v>122</v>
      </c>
      <c r="B88" s="9">
        <v>1186</v>
      </c>
    </row>
    <row r="89" spans="1:2" x14ac:dyDescent="0.3">
      <c r="A89" s="7" t="s">
        <v>43</v>
      </c>
      <c r="B89" s="9">
        <v>1307</v>
      </c>
    </row>
    <row r="90" spans="1:2" x14ac:dyDescent="0.3">
      <c r="A90" s="7" t="s">
        <v>43</v>
      </c>
      <c r="B90" s="9">
        <v>1633</v>
      </c>
    </row>
    <row r="91" spans="1:2" x14ac:dyDescent="0.3">
      <c r="A91" s="7" t="s">
        <v>32</v>
      </c>
      <c r="B91" s="9">
        <v>637</v>
      </c>
    </row>
    <row r="92" spans="1:2" x14ac:dyDescent="0.3">
      <c r="A92" s="7" t="s">
        <v>21</v>
      </c>
      <c r="B92" s="9">
        <v>1340</v>
      </c>
    </row>
    <row r="93" spans="1:2" x14ac:dyDescent="0.3">
      <c r="A93" s="7" t="s">
        <v>40</v>
      </c>
      <c r="B93" s="9">
        <v>999</v>
      </c>
    </row>
    <row r="94" spans="1:2" x14ac:dyDescent="0.3">
      <c r="A94" s="7" t="s">
        <v>21</v>
      </c>
      <c r="B94" s="9">
        <v>2063</v>
      </c>
    </row>
    <row r="95" spans="1:2" x14ac:dyDescent="0.3">
      <c r="A95" s="7" t="s">
        <v>43</v>
      </c>
      <c r="B95" s="9">
        <v>1556</v>
      </c>
    </row>
    <row r="96" spans="1:2" x14ac:dyDescent="0.3">
      <c r="A96" s="7" t="s">
        <v>48</v>
      </c>
      <c r="B96" s="9">
        <v>2777</v>
      </c>
    </row>
    <row r="97" spans="1:2" x14ac:dyDescent="0.3">
      <c r="A97" s="7" t="s">
        <v>32</v>
      </c>
      <c r="B97" s="9">
        <v>1556</v>
      </c>
    </row>
    <row r="98" spans="1:2" x14ac:dyDescent="0.3">
      <c r="A98" s="7" t="s">
        <v>48</v>
      </c>
      <c r="B98" s="9">
        <v>984</v>
      </c>
    </row>
    <row r="99" spans="1:2" x14ac:dyDescent="0.3">
      <c r="A99" s="7" t="s">
        <v>40</v>
      </c>
      <c r="B99" s="9">
        <v>336</v>
      </c>
    </row>
    <row r="100" spans="1:2" x14ac:dyDescent="0.3">
      <c r="A100" s="7" t="s">
        <v>37</v>
      </c>
      <c r="B100" s="9">
        <v>1015</v>
      </c>
    </row>
    <row r="101" spans="1:2" x14ac:dyDescent="0.3">
      <c r="A101" s="7" t="s">
        <v>62</v>
      </c>
      <c r="B101" s="9">
        <v>2879</v>
      </c>
    </row>
    <row r="102" spans="1:2" x14ac:dyDescent="0.3">
      <c r="A102" s="7" t="s">
        <v>16</v>
      </c>
      <c r="B102" s="9">
        <v>2675</v>
      </c>
    </row>
    <row r="103" spans="1:2" x14ac:dyDescent="0.3">
      <c r="A103" s="7" t="s">
        <v>21</v>
      </c>
      <c r="B103" s="9">
        <v>783</v>
      </c>
    </row>
    <row r="104" spans="1:2" x14ac:dyDescent="0.3">
      <c r="A104" s="7" t="s">
        <v>32</v>
      </c>
      <c r="B104" s="9">
        <v>1847</v>
      </c>
    </row>
    <row r="105" spans="1:2" x14ac:dyDescent="0.3">
      <c r="A105" s="7" t="s">
        <v>27</v>
      </c>
      <c r="B105" s="9">
        <v>2155</v>
      </c>
    </row>
    <row r="106" spans="1:2" x14ac:dyDescent="0.3">
      <c r="A106" s="7" t="s">
        <v>40</v>
      </c>
      <c r="B106" s="9">
        <v>1715</v>
      </c>
    </row>
    <row r="107" spans="1:2" x14ac:dyDescent="0.3">
      <c r="A107" s="7" t="s">
        <v>48</v>
      </c>
      <c r="B107" s="9">
        <v>869</v>
      </c>
    </row>
    <row r="108" spans="1:2" x14ac:dyDescent="0.3">
      <c r="A108" s="7" t="s">
        <v>32</v>
      </c>
      <c r="B108" s="9">
        <v>2439</v>
      </c>
    </row>
    <row r="109" spans="1:2" x14ac:dyDescent="0.3">
      <c r="A109" s="7" t="s">
        <v>48</v>
      </c>
      <c r="B109" s="9">
        <v>1612</v>
      </c>
    </row>
    <row r="110" spans="1:2" x14ac:dyDescent="0.3">
      <c r="A110" s="7" t="s">
        <v>27</v>
      </c>
      <c r="B110" s="9">
        <v>2289</v>
      </c>
    </row>
    <row r="111" spans="1:2" x14ac:dyDescent="0.3">
      <c r="A111" s="7" t="s">
        <v>48</v>
      </c>
      <c r="B111" s="9">
        <v>1982</v>
      </c>
    </row>
    <row r="112" spans="1:2" x14ac:dyDescent="0.3">
      <c r="A112" s="7" t="s">
        <v>71</v>
      </c>
      <c r="B112" s="9">
        <v>655</v>
      </c>
    </row>
    <row r="113" spans="1:2" x14ac:dyDescent="0.3">
      <c r="A113" s="7" t="s">
        <v>62</v>
      </c>
      <c r="B113" s="9">
        <v>2555</v>
      </c>
    </row>
    <row r="114" spans="1:2" x14ac:dyDescent="0.3">
      <c r="A114" s="7" t="s">
        <v>62</v>
      </c>
      <c r="B114" s="9">
        <v>648</v>
      </c>
    </row>
    <row r="115" spans="1:2" x14ac:dyDescent="0.3">
      <c r="A115" s="7" t="s">
        <v>43</v>
      </c>
      <c r="B115" s="9">
        <v>2426</v>
      </c>
    </row>
    <row r="116" spans="1:2" x14ac:dyDescent="0.3">
      <c r="A116" s="7" t="s">
        <v>16</v>
      </c>
      <c r="B116" s="9">
        <v>1217</v>
      </c>
    </row>
    <row r="117" spans="1:2" x14ac:dyDescent="0.3">
      <c r="A117" s="7" t="s">
        <v>43</v>
      </c>
      <c r="B117" s="9">
        <v>974</v>
      </c>
    </row>
    <row r="118" spans="1:2" x14ac:dyDescent="0.3">
      <c r="A118" s="7" t="s">
        <v>27</v>
      </c>
      <c r="B118" s="9">
        <v>2294</v>
      </c>
    </row>
    <row r="119" spans="1:2" x14ac:dyDescent="0.3">
      <c r="A119" s="7" t="s">
        <v>40</v>
      </c>
      <c r="B119" s="9">
        <v>2570</v>
      </c>
    </row>
    <row r="120" spans="1:2" x14ac:dyDescent="0.3">
      <c r="A120" s="7" t="s">
        <v>32</v>
      </c>
      <c r="B120" s="9">
        <v>328</v>
      </c>
    </row>
    <row r="121" spans="1:2" x14ac:dyDescent="0.3">
      <c r="A121" s="7" t="s">
        <v>16</v>
      </c>
      <c r="B121" s="9">
        <v>999</v>
      </c>
    </row>
    <row r="122" spans="1:2" x14ac:dyDescent="0.3">
      <c r="A122" s="7" t="s">
        <v>37</v>
      </c>
      <c r="B122" s="9">
        <v>1409</v>
      </c>
    </row>
    <row r="123" spans="1:2" x14ac:dyDescent="0.3">
      <c r="A123" s="7" t="s">
        <v>43</v>
      </c>
      <c r="B123" s="9">
        <v>1199</v>
      </c>
    </row>
    <row r="124" spans="1:2" x14ac:dyDescent="0.3">
      <c r="A124" s="7" t="s">
        <v>32</v>
      </c>
      <c r="B124" s="9">
        <v>2557</v>
      </c>
    </row>
    <row r="125" spans="1:2" x14ac:dyDescent="0.3">
      <c r="A125" s="7" t="s">
        <v>27</v>
      </c>
      <c r="B125" s="9">
        <v>2839</v>
      </c>
    </row>
    <row r="126" spans="1:2" x14ac:dyDescent="0.3">
      <c r="A126" s="7" t="s">
        <v>40</v>
      </c>
      <c r="B126" s="9">
        <v>986</v>
      </c>
    </row>
    <row r="127" spans="1:2" x14ac:dyDescent="0.3">
      <c r="A127" s="7" t="s">
        <v>27</v>
      </c>
      <c r="B127" s="9">
        <v>1859</v>
      </c>
    </row>
    <row r="128" spans="1:2" x14ac:dyDescent="0.3">
      <c r="A128" s="7" t="s">
        <v>48</v>
      </c>
      <c r="B128" s="9">
        <v>2683</v>
      </c>
    </row>
    <row r="129" spans="1:2" x14ac:dyDescent="0.3">
      <c r="A129" s="7" t="s">
        <v>62</v>
      </c>
      <c r="B129" s="9">
        <v>2650</v>
      </c>
    </row>
    <row r="130" spans="1:2" x14ac:dyDescent="0.3">
      <c r="A130" s="7" t="s">
        <v>40</v>
      </c>
      <c r="B130" s="9">
        <v>2263</v>
      </c>
    </row>
    <row r="131" spans="1:2" x14ac:dyDescent="0.3">
      <c r="A131" s="7" t="s">
        <v>48</v>
      </c>
      <c r="B131" s="9">
        <v>1078</v>
      </c>
    </row>
    <row r="132" spans="1:2" x14ac:dyDescent="0.3">
      <c r="A132" s="7" t="s">
        <v>32</v>
      </c>
      <c r="B132" s="9">
        <v>885</v>
      </c>
    </row>
    <row r="133" spans="1:2" x14ac:dyDescent="0.3">
      <c r="A133" s="7" t="s">
        <v>21</v>
      </c>
      <c r="B133" s="9">
        <v>1185</v>
      </c>
    </row>
    <row r="134" spans="1:2" x14ac:dyDescent="0.3">
      <c r="A134" s="7" t="s">
        <v>43</v>
      </c>
      <c r="B134" s="9">
        <v>727</v>
      </c>
    </row>
    <row r="135" spans="1:2" x14ac:dyDescent="0.3">
      <c r="A135" s="7" t="s">
        <v>32</v>
      </c>
      <c r="B135" s="9">
        <v>1891</v>
      </c>
    </row>
    <row r="136" spans="1:2" x14ac:dyDescent="0.3">
      <c r="A136" s="7" t="s">
        <v>27</v>
      </c>
      <c r="B136" s="9">
        <v>1499</v>
      </c>
    </row>
    <row r="137" spans="1:2" x14ac:dyDescent="0.3">
      <c r="A137" s="7" t="s">
        <v>62</v>
      </c>
      <c r="B137" s="9">
        <v>1383</v>
      </c>
    </row>
    <row r="138" spans="1:2" x14ac:dyDescent="0.3">
      <c r="A138" s="7" t="s">
        <v>40</v>
      </c>
      <c r="B138" s="9">
        <v>1202</v>
      </c>
    </row>
    <row r="139" spans="1:2" x14ac:dyDescent="0.3">
      <c r="A139" s="7" t="s">
        <v>32</v>
      </c>
      <c r="B139" s="9">
        <v>1739</v>
      </c>
    </row>
    <row r="140" spans="1:2" x14ac:dyDescent="0.3">
      <c r="A140" s="7" t="s">
        <v>32</v>
      </c>
      <c r="B140" s="9">
        <v>1530</v>
      </c>
    </row>
    <row r="141" spans="1:2" x14ac:dyDescent="0.3">
      <c r="A141" s="7" t="s">
        <v>16</v>
      </c>
      <c r="B141" s="9">
        <v>1270</v>
      </c>
    </row>
    <row r="142" spans="1:2" x14ac:dyDescent="0.3">
      <c r="A142" s="7" t="s">
        <v>21</v>
      </c>
      <c r="B142" s="9">
        <v>2009</v>
      </c>
    </row>
    <row r="143" spans="1:2" x14ac:dyDescent="0.3">
      <c r="A143" s="7" t="s">
        <v>48</v>
      </c>
      <c r="B143" s="9">
        <v>2904</v>
      </c>
    </row>
    <row r="144" spans="1:2" x14ac:dyDescent="0.3">
      <c r="A144" s="7" t="s">
        <v>43</v>
      </c>
      <c r="B144" s="9">
        <v>1643</v>
      </c>
    </row>
    <row r="145" spans="1:2" x14ac:dyDescent="0.3">
      <c r="A145" s="7" t="s">
        <v>43</v>
      </c>
      <c r="B145" s="9">
        <v>2312</v>
      </c>
    </row>
    <row r="146" spans="1:2" x14ac:dyDescent="0.3">
      <c r="A146" s="7" t="s">
        <v>43</v>
      </c>
      <c r="B146" s="9">
        <v>2748</v>
      </c>
    </row>
    <row r="147" spans="1:2" x14ac:dyDescent="0.3">
      <c r="A147" s="7" t="s">
        <v>62</v>
      </c>
      <c r="B147" s="9">
        <v>1566</v>
      </c>
    </row>
    <row r="148" spans="1:2" x14ac:dyDescent="0.3">
      <c r="A148" s="7" t="s">
        <v>71</v>
      </c>
      <c r="B148" s="9">
        <v>994</v>
      </c>
    </row>
    <row r="149" spans="1:2" x14ac:dyDescent="0.3">
      <c r="A149" s="7" t="s">
        <v>43</v>
      </c>
      <c r="B149" s="9">
        <v>371</v>
      </c>
    </row>
    <row r="150" spans="1:2" x14ac:dyDescent="0.3">
      <c r="A150" s="7" t="s">
        <v>27</v>
      </c>
      <c r="B150" s="9">
        <v>2249</v>
      </c>
    </row>
    <row r="151" spans="1:2" x14ac:dyDescent="0.3">
      <c r="A151" s="7" t="s">
        <v>62</v>
      </c>
      <c r="B151" s="9">
        <v>961</v>
      </c>
    </row>
    <row r="152" spans="1:2" x14ac:dyDescent="0.3">
      <c r="A152" s="7" t="s">
        <v>32</v>
      </c>
      <c r="B152" s="9">
        <v>1876</v>
      </c>
    </row>
    <row r="153" spans="1:2" x14ac:dyDescent="0.3">
      <c r="A153" s="7" t="s">
        <v>122</v>
      </c>
      <c r="B153" s="9">
        <v>2499</v>
      </c>
    </row>
    <row r="154" spans="1:2" x14ac:dyDescent="0.3">
      <c r="A154" s="7" t="s">
        <v>40</v>
      </c>
      <c r="B154" s="9">
        <v>2183</v>
      </c>
    </row>
    <row r="155" spans="1:2" x14ac:dyDescent="0.3">
      <c r="A155" s="7" t="s">
        <v>48</v>
      </c>
      <c r="B155" s="9">
        <v>410</v>
      </c>
    </row>
    <row r="156" spans="1:2" x14ac:dyDescent="0.3">
      <c r="A156" s="7" t="s">
        <v>37</v>
      </c>
      <c r="B156" s="9">
        <v>2371</v>
      </c>
    </row>
    <row r="157" spans="1:2" x14ac:dyDescent="0.3">
      <c r="A157" s="7" t="s">
        <v>27</v>
      </c>
      <c r="B157" s="9">
        <v>1015</v>
      </c>
    </row>
    <row r="158" spans="1:2" x14ac:dyDescent="0.3">
      <c r="A158" s="7" t="s">
        <v>32</v>
      </c>
      <c r="B158" s="9">
        <v>1559</v>
      </c>
    </row>
    <row r="159" spans="1:2" x14ac:dyDescent="0.3">
      <c r="A159" s="7" t="s">
        <v>62</v>
      </c>
      <c r="B159" s="9">
        <v>2123</v>
      </c>
    </row>
    <row r="160" spans="1:2" x14ac:dyDescent="0.3">
      <c r="A160" s="7" t="s">
        <v>71</v>
      </c>
      <c r="B160" s="9">
        <v>507</v>
      </c>
    </row>
    <row r="161" spans="1:2" x14ac:dyDescent="0.3">
      <c r="A161" s="7" t="s">
        <v>43</v>
      </c>
      <c r="B161" s="9">
        <v>2802</v>
      </c>
    </row>
    <row r="162" spans="1:2" x14ac:dyDescent="0.3">
      <c r="A162" s="7" t="s">
        <v>48</v>
      </c>
      <c r="B162" s="9">
        <v>1272</v>
      </c>
    </row>
    <row r="163" spans="1:2" x14ac:dyDescent="0.3">
      <c r="A163" s="7" t="s">
        <v>21</v>
      </c>
      <c r="B163" s="9">
        <v>1247</v>
      </c>
    </row>
    <row r="164" spans="1:2" x14ac:dyDescent="0.3">
      <c r="A164" s="7" t="s">
        <v>37</v>
      </c>
      <c r="B164" s="9">
        <v>338</v>
      </c>
    </row>
    <row r="165" spans="1:2" x14ac:dyDescent="0.3">
      <c r="A165" s="7" t="s">
        <v>71</v>
      </c>
      <c r="B165" s="9">
        <v>1194</v>
      </c>
    </row>
    <row r="166" spans="1:2" x14ac:dyDescent="0.3">
      <c r="A166" s="7" t="s">
        <v>27</v>
      </c>
      <c r="B166" s="9">
        <v>1037</v>
      </c>
    </row>
    <row r="167" spans="1:2" x14ac:dyDescent="0.3">
      <c r="A167" s="7" t="s">
        <v>21</v>
      </c>
      <c r="B167" s="9">
        <v>2251</v>
      </c>
    </row>
    <row r="168" spans="1:2" x14ac:dyDescent="0.3">
      <c r="A168" s="7" t="s">
        <v>37</v>
      </c>
      <c r="B168" s="9">
        <v>2469</v>
      </c>
    </row>
    <row r="169" spans="1:2" x14ac:dyDescent="0.3">
      <c r="A169" s="7" t="s">
        <v>32</v>
      </c>
      <c r="B169" s="9">
        <v>1493</v>
      </c>
    </row>
    <row r="170" spans="1:2" x14ac:dyDescent="0.3">
      <c r="A170" s="7" t="s">
        <v>43</v>
      </c>
      <c r="B170" s="9">
        <v>515</v>
      </c>
    </row>
    <row r="171" spans="1:2" x14ac:dyDescent="0.3">
      <c r="A171" s="7" t="s">
        <v>48</v>
      </c>
      <c r="B171" s="9">
        <v>1587</v>
      </c>
    </row>
    <row r="172" spans="1:2" x14ac:dyDescent="0.3">
      <c r="A172" s="7" t="s">
        <v>48</v>
      </c>
      <c r="B172" s="9">
        <v>1547</v>
      </c>
    </row>
    <row r="173" spans="1:2" x14ac:dyDescent="0.3">
      <c r="A173" s="7" t="s">
        <v>48</v>
      </c>
      <c r="B173" s="9">
        <v>2227</v>
      </c>
    </row>
    <row r="174" spans="1:2" x14ac:dyDescent="0.3">
      <c r="A174" s="7" t="s">
        <v>32</v>
      </c>
      <c r="B174" s="9">
        <v>1387</v>
      </c>
    </row>
    <row r="175" spans="1:2" x14ac:dyDescent="0.3">
      <c r="A175" s="7" t="s">
        <v>21</v>
      </c>
      <c r="B175" s="9">
        <v>1574</v>
      </c>
    </row>
    <row r="176" spans="1:2" x14ac:dyDescent="0.3">
      <c r="A176" s="7" t="s">
        <v>48</v>
      </c>
      <c r="B176" s="9">
        <v>1030</v>
      </c>
    </row>
    <row r="177" spans="1:2" x14ac:dyDescent="0.3">
      <c r="A177" s="7" t="s">
        <v>32</v>
      </c>
      <c r="B177" s="9">
        <v>1848</v>
      </c>
    </row>
    <row r="178" spans="1:2" x14ac:dyDescent="0.3">
      <c r="A178" s="7" t="s">
        <v>71</v>
      </c>
      <c r="B178" s="9">
        <v>2012</v>
      </c>
    </row>
    <row r="179" spans="1:2" x14ac:dyDescent="0.3">
      <c r="A179" s="7" t="s">
        <v>32</v>
      </c>
      <c r="B179" s="9">
        <v>2280</v>
      </c>
    </row>
    <row r="180" spans="1:2" x14ac:dyDescent="0.3">
      <c r="A180" s="7" t="s">
        <v>71</v>
      </c>
      <c r="B180" s="9">
        <v>2700</v>
      </c>
    </row>
    <row r="181" spans="1:2" x14ac:dyDescent="0.3">
      <c r="A181" s="7" t="s">
        <v>27</v>
      </c>
      <c r="B181" s="9">
        <v>2016</v>
      </c>
    </row>
    <row r="182" spans="1:2" x14ac:dyDescent="0.3">
      <c r="A182" s="7" t="s">
        <v>37</v>
      </c>
      <c r="B182" s="9">
        <v>747</v>
      </c>
    </row>
    <row r="183" spans="1:2" x14ac:dyDescent="0.3">
      <c r="A183" s="7" t="s">
        <v>16</v>
      </c>
      <c r="B183" s="9">
        <v>2285</v>
      </c>
    </row>
    <row r="184" spans="1:2" x14ac:dyDescent="0.3">
      <c r="A184" s="7" t="s">
        <v>21</v>
      </c>
      <c r="B184" s="9">
        <v>2434</v>
      </c>
    </row>
    <row r="185" spans="1:2" x14ac:dyDescent="0.3">
      <c r="A185" s="7" t="s">
        <v>43</v>
      </c>
      <c r="B185" s="9">
        <v>1585</v>
      </c>
    </row>
    <row r="186" spans="1:2" x14ac:dyDescent="0.3">
      <c r="A186" s="7" t="s">
        <v>48</v>
      </c>
      <c r="B186" s="9">
        <v>2068</v>
      </c>
    </row>
    <row r="187" spans="1:2" x14ac:dyDescent="0.3">
      <c r="A187" s="7" t="s">
        <v>122</v>
      </c>
      <c r="B187" s="9">
        <v>1108</v>
      </c>
    </row>
    <row r="188" spans="1:2" x14ac:dyDescent="0.3">
      <c r="A188" s="7" t="s">
        <v>43</v>
      </c>
      <c r="B188" s="9">
        <v>2011</v>
      </c>
    </row>
    <row r="189" spans="1:2" x14ac:dyDescent="0.3">
      <c r="A189" s="7" t="s">
        <v>62</v>
      </c>
      <c r="B189" s="9">
        <v>2936</v>
      </c>
    </row>
    <row r="190" spans="1:2" x14ac:dyDescent="0.3">
      <c r="A190" s="7" t="s">
        <v>32</v>
      </c>
      <c r="B190" s="9">
        <v>2744</v>
      </c>
    </row>
    <row r="191" spans="1:2" x14ac:dyDescent="0.3">
      <c r="A191" s="7" t="s">
        <v>27</v>
      </c>
      <c r="B191" s="9">
        <v>1667</v>
      </c>
    </row>
    <row r="192" spans="1:2" x14ac:dyDescent="0.3">
      <c r="A192" s="7" t="s">
        <v>32</v>
      </c>
      <c r="B192" s="9">
        <v>2733</v>
      </c>
    </row>
    <row r="193" spans="1:2" x14ac:dyDescent="0.3">
      <c r="A193" s="7" t="s">
        <v>16</v>
      </c>
      <c r="B193" s="9">
        <v>2572</v>
      </c>
    </row>
    <row r="194" spans="1:2" x14ac:dyDescent="0.3">
      <c r="A194" s="7" t="s">
        <v>122</v>
      </c>
      <c r="B194" s="9">
        <v>1313</v>
      </c>
    </row>
    <row r="195" spans="1:2" x14ac:dyDescent="0.3">
      <c r="A195" s="7" t="s">
        <v>62</v>
      </c>
      <c r="B195" s="9">
        <v>1028</v>
      </c>
    </row>
    <row r="196" spans="1:2" x14ac:dyDescent="0.3">
      <c r="A196" s="7" t="s">
        <v>21</v>
      </c>
      <c r="B196" s="9">
        <v>2195</v>
      </c>
    </row>
    <row r="197" spans="1:2" x14ac:dyDescent="0.3">
      <c r="A197" s="7" t="s">
        <v>32</v>
      </c>
      <c r="B197" s="9">
        <v>2656</v>
      </c>
    </row>
    <row r="198" spans="1:2" x14ac:dyDescent="0.3">
      <c r="A198" s="7" t="s">
        <v>43</v>
      </c>
      <c r="B198" s="9">
        <v>1436</v>
      </c>
    </row>
    <row r="199" spans="1:2" x14ac:dyDescent="0.3">
      <c r="A199" s="7" t="s">
        <v>62</v>
      </c>
      <c r="B199" s="9">
        <v>1273</v>
      </c>
    </row>
    <row r="200" spans="1:2" x14ac:dyDescent="0.3">
      <c r="A200" s="7" t="s">
        <v>21</v>
      </c>
      <c r="B200" s="9">
        <v>1062</v>
      </c>
    </row>
    <row r="201" spans="1:2" x14ac:dyDescent="0.3">
      <c r="A201" s="7" t="s">
        <v>40</v>
      </c>
      <c r="B201" s="9">
        <v>334</v>
      </c>
    </row>
    <row r="202" spans="1:2" x14ac:dyDescent="0.3">
      <c r="A202" s="7" t="s">
        <v>32</v>
      </c>
      <c r="B202" s="9">
        <v>892</v>
      </c>
    </row>
    <row r="203" spans="1:2" x14ac:dyDescent="0.3">
      <c r="A203" s="7" t="s">
        <v>71</v>
      </c>
      <c r="B203" s="9">
        <v>1054</v>
      </c>
    </row>
    <row r="204" spans="1:2" x14ac:dyDescent="0.3">
      <c r="A204" s="7" t="s">
        <v>43</v>
      </c>
      <c r="B204" s="9">
        <v>2300</v>
      </c>
    </row>
    <row r="205" spans="1:2" x14ac:dyDescent="0.3">
      <c r="A205" s="7" t="s">
        <v>21</v>
      </c>
      <c r="B205" s="9">
        <v>2306</v>
      </c>
    </row>
    <row r="206" spans="1:2" x14ac:dyDescent="0.3">
      <c r="A206" s="7" t="s">
        <v>71</v>
      </c>
      <c r="B206" s="9">
        <v>301</v>
      </c>
    </row>
    <row r="207" spans="1:2" x14ac:dyDescent="0.3">
      <c r="A207" s="7" t="s">
        <v>16</v>
      </c>
      <c r="B207" s="9">
        <v>2356</v>
      </c>
    </row>
    <row r="208" spans="1:2" x14ac:dyDescent="0.3">
      <c r="A208" s="7" t="s">
        <v>21</v>
      </c>
      <c r="B208" s="9">
        <v>2013</v>
      </c>
    </row>
    <row r="209" spans="1:2" x14ac:dyDescent="0.3">
      <c r="A209" s="7" t="s">
        <v>32</v>
      </c>
      <c r="B209" s="9">
        <v>2462</v>
      </c>
    </row>
    <row r="210" spans="1:2" x14ac:dyDescent="0.3">
      <c r="A210" s="7" t="s">
        <v>32</v>
      </c>
      <c r="B210" s="9">
        <v>709</v>
      </c>
    </row>
    <row r="211" spans="1:2" x14ac:dyDescent="0.3">
      <c r="A211" s="7" t="s">
        <v>32</v>
      </c>
      <c r="B211" s="9">
        <v>541</v>
      </c>
    </row>
    <row r="212" spans="1:2" x14ac:dyDescent="0.3">
      <c r="A212" s="7" t="s">
        <v>43</v>
      </c>
      <c r="B212" s="9">
        <v>1646</v>
      </c>
    </row>
    <row r="213" spans="1:2" x14ac:dyDescent="0.3">
      <c r="A213" s="7" t="s">
        <v>21</v>
      </c>
      <c r="B213" s="9">
        <v>616</v>
      </c>
    </row>
    <row r="214" spans="1:2" x14ac:dyDescent="0.3">
      <c r="A214" s="7" t="s">
        <v>122</v>
      </c>
      <c r="B214" s="9">
        <v>2871</v>
      </c>
    </row>
    <row r="215" spans="1:2" x14ac:dyDescent="0.3">
      <c r="A215" s="7" t="s">
        <v>62</v>
      </c>
      <c r="B215" s="9">
        <v>883</v>
      </c>
    </row>
    <row r="216" spans="1:2" x14ac:dyDescent="0.3">
      <c r="A216" s="7" t="s">
        <v>43</v>
      </c>
      <c r="B216" s="9">
        <v>2343</v>
      </c>
    </row>
    <row r="217" spans="1:2" x14ac:dyDescent="0.3">
      <c r="A217" s="7" t="s">
        <v>16</v>
      </c>
      <c r="B217" s="9">
        <v>815</v>
      </c>
    </row>
    <row r="218" spans="1:2" x14ac:dyDescent="0.3">
      <c r="A218" s="7" t="s">
        <v>32</v>
      </c>
      <c r="B218" s="9">
        <v>313</v>
      </c>
    </row>
    <row r="219" spans="1:2" x14ac:dyDescent="0.3">
      <c r="A219" s="7" t="s">
        <v>40</v>
      </c>
      <c r="B219" s="9">
        <v>703</v>
      </c>
    </row>
    <row r="220" spans="1:2" x14ac:dyDescent="0.3">
      <c r="A220" s="7" t="s">
        <v>62</v>
      </c>
      <c r="B220" s="9">
        <v>2767</v>
      </c>
    </row>
    <row r="221" spans="1:2" x14ac:dyDescent="0.3">
      <c r="A221" s="7" t="s">
        <v>40</v>
      </c>
      <c r="B221" s="9">
        <v>2882</v>
      </c>
    </row>
    <row r="222" spans="1:2" x14ac:dyDescent="0.3">
      <c r="A222" s="7" t="s">
        <v>27</v>
      </c>
      <c r="B222" s="9">
        <v>490</v>
      </c>
    </row>
    <row r="223" spans="1:2" x14ac:dyDescent="0.3">
      <c r="A223" s="7" t="s">
        <v>40</v>
      </c>
      <c r="B223" s="9">
        <v>677</v>
      </c>
    </row>
    <row r="224" spans="1:2" x14ac:dyDescent="0.3">
      <c r="A224" s="7" t="s">
        <v>32</v>
      </c>
      <c r="B224" s="9">
        <v>744</v>
      </c>
    </row>
    <row r="225" spans="1:2" x14ac:dyDescent="0.3">
      <c r="A225" s="7" t="s">
        <v>62</v>
      </c>
      <c r="B225" s="9">
        <v>1407</v>
      </c>
    </row>
    <row r="226" spans="1:2" x14ac:dyDescent="0.3">
      <c r="A226" s="7" t="s">
        <v>37</v>
      </c>
      <c r="B226" s="9">
        <v>869</v>
      </c>
    </row>
    <row r="227" spans="1:2" x14ac:dyDescent="0.3">
      <c r="A227" s="7" t="s">
        <v>40</v>
      </c>
      <c r="B227" s="9">
        <v>584</v>
      </c>
    </row>
    <row r="228" spans="1:2" x14ac:dyDescent="0.3">
      <c r="A228" s="7" t="s">
        <v>71</v>
      </c>
      <c r="B228" s="9">
        <v>442</v>
      </c>
    </row>
    <row r="229" spans="1:2" x14ac:dyDescent="0.3">
      <c r="A229" s="7" t="s">
        <v>27</v>
      </c>
      <c r="B229" s="9">
        <v>594</v>
      </c>
    </row>
    <row r="230" spans="1:2" x14ac:dyDescent="0.3">
      <c r="A230" s="7" t="s">
        <v>71</v>
      </c>
      <c r="B230" s="9">
        <v>2541</v>
      </c>
    </row>
    <row r="231" spans="1:2" x14ac:dyDescent="0.3">
      <c r="A231" s="7" t="s">
        <v>48</v>
      </c>
      <c r="B231" s="9">
        <v>2335</v>
      </c>
    </row>
    <row r="232" spans="1:2" x14ac:dyDescent="0.3">
      <c r="A232" s="7" t="s">
        <v>48</v>
      </c>
      <c r="B232" s="9">
        <v>2343</v>
      </c>
    </row>
    <row r="233" spans="1:2" x14ac:dyDescent="0.3">
      <c r="A233" s="7" t="s">
        <v>16</v>
      </c>
      <c r="B233" s="9">
        <v>1980</v>
      </c>
    </row>
    <row r="234" spans="1:2" x14ac:dyDescent="0.3">
      <c r="A234" s="7" t="s">
        <v>16</v>
      </c>
      <c r="B234" s="9">
        <v>1255</v>
      </c>
    </row>
    <row r="235" spans="1:2" x14ac:dyDescent="0.3">
      <c r="A235" s="7" t="s">
        <v>40</v>
      </c>
      <c r="B235" s="9">
        <v>1565</v>
      </c>
    </row>
    <row r="236" spans="1:2" x14ac:dyDescent="0.3">
      <c r="A236" s="7" t="s">
        <v>40</v>
      </c>
      <c r="B236" s="9">
        <v>2734</v>
      </c>
    </row>
    <row r="237" spans="1:2" x14ac:dyDescent="0.3">
      <c r="A237" s="7" t="s">
        <v>21</v>
      </c>
      <c r="B237" s="9">
        <v>606</v>
      </c>
    </row>
    <row r="238" spans="1:2" x14ac:dyDescent="0.3">
      <c r="A238" s="7" t="s">
        <v>40</v>
      </c>
      <c r="B238" s="9">
        <v>820</v>
      </c>
    </row>
    <row r="239" spans="1:2" x14ac:dyDescent="0.3">
      <c r="A239" s="7" t="s">
        <v>32</v>
      </c>
      <c r="B239" s="9">
        <v>577</v>
      </c>
    </row>
    <row r="240" spans="1:2" x14ac:dyDescent="0.3">
      <c r="A240" s="7" t="s">
        <v>16</v>
      </c>
      <c r="B240" s="9">
        <v>1874</v>
      </c>
    </row>
    <row r="241" spans="1:2" x14ac:dyDescent="0.3">
      <c r="A241" s="7" t="s">
        <v>27</v>
      </c>
      <c r="B241" s="9">
        <v>617</v>
      </c>
    </row>
    <row r="242" spans="1:2" x14ac:dyDescent="0.3">
      <c r="A242" s="7" t="s">
        <v>43</v>
      </c>
      <c r="B242" s="9">
        <v>2277</v>
      </c>
    </row>
    <row r="243" spans="1:2" x14ac:dyDescent="0.3">
      <c r="A243" s="7" t="s">
        <v>32</v>
      </c>
      <c r="B243" s="9">
        <v>662</v>
      </c>
    </row>
    <row r="244" spans="1:2" x14ac:dyDescent="0.3">
      <c r="A244" s="7" t="s">
        <v>16</v>
      </c>
      <c r="B244" s="9">
        <v>1710</v>
      </c>
    </row>
    <row r="245" spans="1:2" x14ac:dyDescent="0.3">
      <c r="A245" s="7" t="s">
        <v>37</v>
      </c>
      <c r="B245" s="9">
        <v>2439</v>
      </c>
    </row>
    <row r="246" spans="1:2" x14ac:dyDescent="0.3">
      <c r="A246" s="7" t="s">
        <v>43</v>
      </c>
      <c r="B246" s="9">
        <v>2653</v>
      </c>
    </row>
    <row r="247" spans="1:2" x14ac:dyDescent="0.3">
      <c r="A247" s="7" t="s">
        <v>48</v>
      </c>
      <c r="B247" s="9">
        <v>2539</v>
      </c>
    </row>
    <row r="248" spans="1:2" x14ac:dyDescent="0.3">
      <c r="A248" s="7" t="s">
        <v>32</v>
      </c>
      <c r="B248" s="9">
        <v>2429</v>
      </c>
    </row>
    <row r="249" spans="1:2" x14ac:dyDescent="0.3">
      <c r="A249" s="7" t="s">
        <v>27</v>
      </c>
      <c r="B249" s="9">
        <v>2189</v>
      </c>
    </row>
    <row r="250" spans="1:2" x14ac:dyDescent="0.3">
      <c r="A250" s="7" t="s">
        <v>37</v>
      </c>
      <c r="B250" s="9">
        <v>1550</v>
      </c>
    </row>
    <row r="251" spans="1:2" x14ac:dyDescent="0.3">
      <c r="A251" s="7" t="s">
        <v>43</v>
      </c>
      <c r="B251" s="9">
        <v>2814</v>
      </c>
    </row>
    <row r="252" spans="1:2" x14ac:dyDescent="0.3">
      <c r="A252" s="7" t="s">
        <v>32</v>
      </c>
      <c r="B252" s="9">
        <v>2504</v>
      </c>
    </row>
    <row r="253" spans="1:2" x14ac:dyDescent="0.3">
      <c r="A253" s="7" t="s">
        <v>32</v>
      </c>
      <c r="B253" s="9">
        <v>1687</v>
      </c>
    </row>
    <row r="254" spans="1:2" x14ac:dyDescent="0.3">
      <c r="A254" s="7" t="s">
        <v>62</v>
      </c>
      <c r="B254" s="9">
        <v>1753</v>
      </c>
    </row>
    <row r="255" spans="1:2" x14ac:dyDescent="0.3">
      <c r="A255" s="7" t="s">
        <v>27</v>
      </c>
      <c r="B255" s="9">
        <v>1411</v>
      </c>
    </row>
    <row r="256" spans="1:2" x14ac:dyDescent="0.3">
      <c r="A256" s="7" t="s">
        <v>48</v>
      </c>
      <c r="B256" s="9">
        <v>773</v>
      </c>
    </row>
    <row r="257" spans="1:2" x14ac:dyDescent="0.3">
      <c r="A257" s="7" t="s">
        <v>62</v>
      </c>
      <c r="B257" s="9">
        <v>2918</v>
      </c>
    </row>
    <row r="258" spans="1:2" x14ac:dyDescent="0.3">
      <c r="A258" s="7" t="s">
        <v>21</v>
      </c>
      <c r="B258" s="9">
        <v>1437</v>
      </c>
    </row>
    <row r="259" spans="1:2" x14ac:dyDescent="0.3">
      <c r="A259" s="7" t="s">
        <v>71</v>
      </c>
      <c r="B259" s="9">
        <v>2635</v>
      </c>
    </row>
    <row r="260" spans="1:2" x14ac:dyDescent="0.3">
      <c r="A260" s="7" t="s">
        <v>21</v>
      </c>
      <c r="B260" s="9">
        <v>1095</v>
      </c>
    </row>
    <row r="261" spans="1:2" x14ac:dyDescent="0.3">
      <c r="A261" s="7" t="s">
        <v>32</v>
      </c>
      <c r="B261" s="9">
        <v>2004</v>
      </c>
    </row>
    <row r="262" spans="1:2" x14ac:dyDescent="0.3">
      <c r="A262" s="7" t="s">
        <v>40</v>
      </c>
      <c r="B262" s="9">
        <v>2296</v>
      </c>
    </row>
    <row r="263" spans="1:2" x14ac:dyDescent="0.3">
      <c r="A263" s="7" t="s">
        <v>62</v>
      </c>
      <c r="B263" s="9">
        <v>2935</v>
      </c>
    </row>
    <row r="264" spans="1:2" x14ac:dyDescent="0.3">
      <c r="A264" s="7" t="s">
        <v>16</v>
      </c>
      <c r="B264" s="9">
        <v>1624</v>
      </c>
    </row>
    <row r="265" spans="1:2" x14ac:dyDescent="0.3">
      <c r="A265" s="7" t="s">
        <v>40</v>
      </c>
      <c r="B265" s="9">
        <v>389</v>
      </c>
    </row>
    <row r="266" spans="1:2" x14ac:dyDescent="0.3">
      <c r="A266" s="7" t="s">
        <v>16</v>
      </c>
      <c r="B266" s="9">
        <v>1316</v>
      </c>
    </row>
    <row r="267" spans="1:2" x14ac:dyDescent="0.3">
      <c r="A267" s="7" t="s">
        <v>16</v>
      </c>
      <c r="B267" s="9">
        <v>2712</v>
      </c>
    </row>
    <row r="268" spans="1:2" x14ac:dyDescent="0.3">
      <c r="A268" s="7" t="s">
        <v>21</v>
      </c>
      <c r="B268" s="9">
        <v>383</v>
      </c>
    </row>
    <row r="269" spans="1:2" x14ac:dyDescent="0.3">
      <c r="A269" s="7" t="s">
        <v>43</v>
      </c>
      <c r="B269" s="9">
        <v>2696</v>
      </c>
    </row>
    <row r="270" spans="1:2" x14ac:dyDescent="0.3">
      <c r="A270" s="7" t="s">
        <v>27</v>
      </c>
      <c r="B270" s="9">
        <v>1990</v>
      </c>
    </row>
    <row r="271" spans="1:2" x14ac:dyDescent="0.3">
      <c r="A271" s="7" t="s">
        <v>21</v>
      </c>
      <c r="B271" s="9">
        <v>1907</v>
      </c>
    </row>
    <row r="272" spans="1:2" x14ac:dyDescent="0.3">
      <c r="A272" s="7" t="s">
        <v>43</v>
      </c>
      <c r="B272" s="9">
        <v>652</v>
      </c>
    </row>
    <row r="273" spans="1:2" x14ac:dyDescent="0.3">
      <c r="A273" s="7" t="s">
        <v>48</v>
      </c>
      <c r="B273" s="9">
        <v>907</v>
      </c>
    </row>
    <row r="274" spans="1:2" x14ac:dyDescent="0.3">
      <c r="A274" s="7" t="s">
        <v>32</v>
      </c>
      <c r="B274" s="9">
        <v>1217</v>
      </c>
    </row>
    <row r="275" spans="1:2" x14ac:dyDescent="0.3">
      <c r="A275" s="7" t="s">
        <v>37</v>
      </c>
      <c r="B275" s="9">
        <v>1830</v>
      </c>
    </row>
    <row r="276" spans="1:2" x14ac:dyDescent="0.3">
      <c r="A276" s="7" t="s">
        <v>21</v>
      </c>
      <c r="B276" s="9">
        <v>2769</v>
      </c>
    </row>
    <row r="277" spans="1:2" x14ac:dyDescent="0.3">
      <c r="A277" s="7" t="s">
        <v>48</v>
      </c>
      <c r="B277" s="9">
        <v>2761</v>
      </c>
    </row>
    <row r="278" spans="1:2" x14ac:dyDescent="0.3">
      <c r="A278" s="7" t="s">
        <v>27</v>
      </c>
      <c r="B278" s="9">
        <v>1594</v>
      </c>
    </row>
    <row r="279" spans="1:2" x14ac:dyDescent="0.3">
      <c r="A279" s="7" t="s">
        <v>71</v>
      </c>
      <c r="B279" s="9">
        <v>1235</v>
      </c>
    </row>
    <row r="280" spans="1:2" x14ac:dyDescent="0.3">
      <c r="A280" s="7" t="s">
        <v>40</v>
      </c>
      <c r="B280" s="9">
        <v>611</v>
      </c>
    </row>
    <row r="281" spans="1:2" x14ac:dyDescent="0.3">
      <c r="A281" s="7" t="s">
        <v>32</v>
      </c>
      <c r="B281" s="9">
        <v>1013</v>
      </c>
    </row>
    <row r="282" spans="1:2" x14ac:dyDescent="0.3">
      <c r="A282" s="7" t="s">
        <v>40</v>
      </c>
      <c r="B282" s="9">
        <v>1173</v>
      </c>
    </row>
    <row r="283" spans="1:2" x14ac:dyDescent="0.3">
      <c r="A283" s="7" t="s">
        <v>27</v>
      </c>
      <c r="B283" s="9">
        <v>2313</v>
      </c>
    </row>
    <row r="284" spans="1:2" x14ac:dyDescent="0.3">
      <c r="A284" s="7" t="s">
        <v>122</v>
      </c>
      <c r="B284" s="9">
        <v>2384</v>
      </c>
    </row>
    <row r="285" spans="1:2" x14ac:dyDescent="0.3">
      <c r="A285" s="7" t="s">
        <v>43</v>
      </c>
      <c r="B285" s="9">
        <v>2571</v>
      </c>
    </row>
    <row r="286" spans="1:2" x14ac:dyDescent="0.3">
      <c r="A286" s="7" t="s">
        <v>43</v>
      </c>
      <c r="B286" s="9">
        <v>1382</v>
      </c>
    </row>
    <row r="287" spans="1:2" x14ac:dyDescent="0.3">
      <c r="A287" s="7" t="s">
        <v>48</v>
      </c>
      <c r="B287" s="9">
        <v>2109</v>
      </c>
    </row>
    <row r="288" spans="1:2" x14ac:dyDescent="0.3">
      <c r="A288" s="7" t="s">
        <v>71</v>
      </c>
      <c r="B288" s="9">
        <v>1125</v>
      </c>
    </row>
    <row r="289" spans="1:2" x14ac:dyDescent="0.3">
      <c r="A289" s="7" t="s">
        <v>32</v>
      </c>
      <c r="B289" s="9">
        <v>2282</v>
      </c>
    </row>
    <row r="290" spans="1:2" x14ac:dyDescent="0.3">
      <c r="A290" s="7" t="s">
        <v>40</v>
      </c>
      <c r="B290" s="9">
        <v>2440</v>
      </c>
    </row>
    <row r="291" spans="1:2" x14ac:dyDescent="0.3">
      <c r="A291" s="7" t="s">
        <v>27</v>
      </c>
      <c r="B291" s="9">
        <v>694</v>
      </c>
    </row>
    <row r="292" spans="1:2" x14ac:dyDescent="0.3">
      <c r="A292" s="7" t="s">
        <v>43</v>
      </c>
      <c r="B292" s="9">
        <v>573</v>
      </c>
    </row>
    <row r="293" spans="1:2" x14ac:dyDescent="0.3">
      <c r="A293" s="7" t="s">
        <v>43</v>
      </c>
      <c r="B293" s="9">
        <v>2806</v>
      </c>
    </row>
    <row r="294" spans="1:2" x14ac:dyDescent="0.3">
      <c r="A294" s="7" t="s">
        <v>40</v>
      </c>
      <c r="B294" s="9">
        <v>815</v>
      </c>
    </row>
    <row r="295" spans="1:2" x14ac:dyDescent="0.3">
      <c r="A295" s="7" t="s">
        <v>122</v>
      </c>
      <c r="B295" s="9">
        <v>848</v>
      </c>
    </row>
    <row r="296" spans="1:2" x14ac:dyDescent="0.3">
      <c r="A296" s="7" t="s">
        <v>71</v>
      </c>
      <c r="B296" s="9">
        <v>758</v>
      </c>
    </row>
    <row r="297" spans="1:2" x14ac:dyDescent="0.3">
      <c r="A297" s="7" t="s">
        <v>32</v>
      </c>
      <c r="B297" s="9">
        <v>2848</v>
      </c>
    </row>
    <row r="298" spans="1:2" x14ac:dyDescent="0.3">
      <c r="A298" s="7" t="s">
        <v>43</v>
      </c>
      <c r="B298" s="9">
        <v>401</v>
      </c>
    </row>
    <row r="299" spans="1:2" x14ac:dyDescent="0.3">
      <c r="A299" s="7" t="s">
        <v>32</v>
      </c>
      <c r="B299" s="9">
        <v>2730</v>
      </c>
    </row>
    <row r="300" spans="1:2" x14ac:dyDescent="0.3">
      <c r="A300" s="7" t="s">
        <v>62</v>
      </c>
      <c r="B300" s="9">
        <v>852</v>
      </c>
    </row>
    <row r="301" spans="1:2" x14ac:dyDescent="0.3">
      <c r="A301" s="7" t="s">
        <v>21</v>
      </c>
      <c r="B301" s="9">
        <v>2480</v>
      </c>
    </row>
    <row r="302" spans="1:2" x14ac:dyDescent="0.3">
      <c r="A302" s="7" t="s">
        <v>40</v>
      </c>
      <c r="B302" s="9">
        <v>1545</v>
      </c>
    </row>
    <row r="303" spans="1:2" x14ac:dyDescent="0.3">
      <c r="A303" s="7" t="s">
        <v>122</v>
      </c>
      <c r="B303" s="9">
        <v>1867</v>
      </c>
    </row>
    <row r="304" spans="1:2" x14ac:dyDescent="0.3">
      <c r="A304" s="7" t="s">
        <v>32</v>
      </c>
      <c r="B304" s="9">
        <v>1925</v>
      </c>
    </row>
    <row r="305" spans="1:2" x14ac:dyDescent="0.3">
      <c r="A305" s="7" t="s">
        <v>32</v>
      </c>
      <c r="B305" s="9">
        <v>2175</v>
      </c>
    </row>
    <row r="306" spans="1:2" x14ac:dyDescent="0.3">
      <c r="A306" s="7" t="s">
        <v>41</v>
      </c>
      <c r="B306" s="9">
        <v>1519</v>
      </c>
    </row>
    <row r="307" spans="1:2" x14ac:dyDescent="0.3">
      <c r="A307" s="7" t="s">
        <v>17</v>
      </c>
      <c r="B307" s="9">
        <v>1398</v>
      </c>
    </row>
    <row r="308" spans="1:2" x14ac:dyDescent="0.3">
      <c r="A308" s="7" t="s">
        <v>57</v>
      </c>
      <c r="B308" s="9">
        <v>320</v>
      </c>
    </row>
    <row r="309" spans="1:2" x14ac:dyDescent="0.3">
      <c r="A309" s="7" t="s">
        <v>41</v>
      </c>
      <c r="B309" s="9">
        <v>1624</v>
      </c>
    </row>
    <row r="310" spans="1:2" x14ac:dyDescent="0.3">
      <c r="A310" s="7" t="s">
        <v>57</v>
      </c>
      <c r="B310" s="9">
        <v>2010</v>
      </c>
    </row>
    <row r="311" spans="1:2" x14ac:dyDescent="0.3">
      <c r="A311" s="7" t="s">
        <v>33</v>
      </c>
      <c r="B311" s="9">
        <v>458</v>
      </c>
    </row>
    <row r="312" spans="1:2" x14ac:dyDescent="0.3">
      <c r="A312" s="7" t="s">
        <v>44</v>
      </c>
      <c r="B312" s="9">
        <v>1628</v>
      </c>
    </row>
    <row r="313" spans="1:2" x14ac:dyDescent="0.3">
      <c r="A313" s="7" t="s">
        <v>41</v>
      </c>
      <c r="B313" s="9">
        <v>934</v>
      </c>
    </row>
    <row r="314" spans="1:2" x14ac:dyDescent="0.3">
      <c r="A314" s="7" t="s">
        <v>22</v>
      </c>
      <c r="B314" s="9">
        <v>1689</v>
      </c>
    </row>
    <row r="315" spans="1:2" x14ac:dyDescent="0.3">
      <c r="A315" s="7" t="s">
        <v>44</v>
      </c>
      <c r="B315" s="9">
        <v>1330</v>
      </c>
    </row>
    <row r="316" spans="1:2" x14ac:dyDescent="0.3">
      <c r="A316" s="7" t="s">
        <v>17</v>
      </c>
      <c r="B316" s="9">
        <v>416</v>
      </c>
    </row>
    <row r="317" spans="1:2" x14ac:dyDescent="0.3">
      <c r="A317" s="7" t="s">
        <v>57</v>
      </c>
      <c r="B317" s="9">
        <v>814</v>
      </c>
    </row>
    <row r="318" spans="1:2" x14ac:dyDescent="0.3">
      <c r="A318" s="7" t="s">
        <v>28</v>
      </c>
      <c r="B318" s="9">
        <v>405</v>
      </c>
    </row>
    <row r="319" spans="1:2" x14ac:dyDescent="0.3">
      <c r="A319" s="7" t="s">
        <v>22</v>
      </c>
      <c r="B319" s="9">
        <v>2553</v>
      </c>
    </row>
    <row r="320" spans="1:2" x14ac:dyDescent="0.3">
      <c r="A320" s="7" t="s">
        <v>41</v>
      </c>
      <c r="B320" s="9">
        <v>1091</v>
      </c>
    </row>
    <row r="321" spans="1:2" x14ac:dyDescent="0.3">
      <c r="A321" s="7" t="s">
        <v>28</v>
      </c>
      <c r="B321" s="9">
        <v>1233</v>
      </c>
    </row>
    <row r="322" spans="1:2" x14ac:dyDescent="0.3">
      <c r="A322" s="7" t="s">
        <v>17</v>
      </c>
      <c r="B322" s="9">
        <v>1213</v>
      </c>
    </row>
    <row r="323" spans="1:2" x14ac:dyDescent="0.3">
      <c r="A323" s="7" t="s">
        <v>17</v>
      </c>
      <c r="B323" s="9">
        <v>1288</v>
      </c>
    </row>
    <row r="324" spans="1:2" x14ac:dyDescent="0.3">
      <c r="A324" s="7" t="s">
        <v>37</v>
      </c>
      <c r="B324" s="9">
        <v>819</v>
      </c>
    </row>
    <row r="325" spans="1:2" x14ac:dyDescent="0.3">
      <c r="A325" s="7" t="s">
        <v>22</v>
      </c>
      <c r="B325" s="9">
        <v>2009</v>
      </c>
    </row>
    <row r="326" spans="1:2" x14ac:dyDescent="0.3">
      <c r="A326" s="7" t="s">
        <v>37</v>
      </c>
      <c r="B326" s="9">
        <v>2387</v>
      </c>
    </row>
    <row r="327" spans="1:2" x14ac:dyDescent="0.3">
      <c r="A327" s="7" t="s">
        <v>37</v>
      </c>
      <c r="B327" s="9">
        <v>550</v>
      </c>
    </row>
    <row r="328" spans="1:2" x14ac:dyDescent="0.3">
      <c r="A328" s="7" t="s">
        <v>17</v>
      </c>
      <c r="B328" s="9">
        <v>2463</v>
      </c>
    </row>
    <row r="329" spans="1:2" x14ac:dyDescent="0.3">
      <c r="A329" s="7" t="s">
        <v>44</v>
      </c>
      <c r="B329" s="9">
        <v>888</v>
      </c>
    </row>
    <row r="330" spans="1:2" x14ac:dyDescent="0.3">
      <c r="A330" s="7" t="s">
        <v>41</v>
      </c>
      <c r="B330" s="9">
        <v>1256</v>
      </c>
    </row>
    <row r="331" spans="1:2" x14ac:dyDescent="0.3">
      <c r="A331" s="7" t="s">
        <v>28</v>
      </c>
      <c r="B331" s="9">
        <v>906</v>
      </c>
    </row>
    <row r="332" spans="1:2" x14ac:dyDescent="0.3">
      <c r="A332" s="7" t="s">
        <v>44</v>
      </c>
      <c r="B332" s="9">
        <v>2048</v>
      </c>
    </row>
    <row r="333" spans="1:2" x14ac:dyDescent="0.3">
      <c r="A333" s="7" t="s">
        <v>32</v>
      </c>
      <c r="B333" s="9">
        <v>2807</v>
      </c>
    </row>
    <row r="334" spans="1:2" x14ac:dyDescent="0.3">
      <c r="A334" s="7" t="s">
        <v>123</v>
      </c>
      <c r="B334" s="9">
        <v>1186</v>
      </c>
    </row>
    <row r="335" spans="1:2" x14ac:dyDescent="0.3">
      <c r="A335" s="7" t="s">
        <v>37</v>
      </c>
      <c r="B335" s="9">
        <v>2001</v>
      </c>
    </row>
    <row r="336" spans="1:2" x14ac:dyDescent="0.3">
      <c r="A336" s="7" t="s">
        <v>57</v>
      </c>
      <c r="B336" s="9">
        <v>725</v>
      </c>
    </row>
    <row r="337" spans="1:2" x14ac:dyDescent="0.3">
      <c r="A337" s="7" t="s">
        <v>123</v>
      </c>
      <c r="B337" s="9">
        <v>465</v>
      </c>
    </row>
    <row r="338" spans="1:2" x14ac:dyDescent="0.3">
      <c r="A338" s="7" t="s">
        <v>41</v>
      </c>
      <c r="B338" s="9">
        <v>1624</v>
      </c>
    </row>
    <row r="339" spans="1:2" x14ac:dyDescent="0.3">
      <c r="A339" s="7" t="s">
        <v>41</v>
      </c>
      <c r="B339" s="9">
        <v>321</v>
      </c>
    </row>
    <row r="340" spans="1:2" x14ac:dyDescent="0.3">
      <c r="A340" s="7" t="s">
        <v>33</v>
      </c>
      <c r="B340" s="9">
        <v>1293</v>
      </c>
    </row>
    <row r="341" spans="1:2" x14ac:dyDescent="0.3">
      <c r="A341" s="7" t="s">
        <v>57</v>
      </c>
      <c r="B341" s="9">
        <v>856</v>
      </c>
    </row>
    <row r="342" spans="1:2" x14ac:dyDescent="0.3">
      <c r="A342" s="7" t="s">
        <v>32</v>
      </c>
      <c r="B342" s="9">
        <v>2354</v>
      </c>
    </row>
    <row r="343" spans="1:2" x14ac:dyDescent="0.3">
      <c r="A343" s="7" t="s">
        <v>22</v>
      </c>
      <c r="B343" s="9">
        <v>1860</v>
      </c>
    </row>
    <row r="344" spans="1:2" x14ac:dyDescent="0.3">
      <c r="A344" s="7" t="s">
        <v>32</v>
      </c>
      <c r="B344" s="9">
        <v>321</v>
      </c>
    </row>
    <row r="345" spans="1:2" x14ac:dyDescent="0.3">
      <c r="A345" s="7" t="s">
        <v>17</v>
      </c>
      <c r="B345" s="9">
        <v>826</v>
      </c>
    </row>
    <row r="346" spans="1:2" x14ac:dyDescent="0.3">
      <c r="A346" s="7" t="s">
        <v>32</v>
      </c>
      <c r="B346" s="9">
        <v>1573</v>
      </c>
    </row>
    <row r="347" spans="1:2" x14ac:dyDescent="0.3">
      <c r="A347" s="7" t="s">
        <v>22</v>
      </c>
      <c r="B347" s="9">
        <v>1649</v>
      </c>
    </row>
    <row r="348" spans="1:2" x14ac:dyDescent="0.3">
      <c r="A348" s="7" t="s">
        <v>44</v>
      </c>
      <c r="B348" s="9">
        <v>1288</v>
      </c>
    </row>
    <row r="349" spans="1:2" x14ac:dyDescent="0.3">
      <c r="A349" s="7" t="s">
        <v>33</v>
      </c>
      <c r="B349" s="9">
        <v>1168</v>
      </c>
    </row>
    <row r="350" spans="1:2" x14ac:dyDescent="0.3">
      <c r="A350" s="7" t="s">
        <v>123</v>
      </c>
      <c r="B350" s="9">
        <v>1003</v>
      </c>
    </row>
    <row r="351" spans="1:2" x14ac:dyDescent="0.3">
      <c r="A351" s="7" t="s">
        <v>32</v>
      </c>
      <c r="B351" s="9">
        <v>2710</v>
      </c>
    </row>
    <row r="352" spans="1:2" x14ac:dyDescent="0.3">
      <c r="A352" s="7" t="s">
        <v>123</v>
      </c>
      <c r="B352" s="9">
        <v>1350</v>
      </c>
    </row>
    <row r="353" spans="1:2" x14ac:dyDescent="0.3">
      <c r="A353" s="7" t="s">
        <v>32</v>
      </c>
      <c r="B353" s="9">
        <v>1284</v>
      </c>
    </row>
    <row r="354" spans="1:2" x14ac:dyDescent="0.3">
      <c r="A354" s="7" t="s">
        <v>57</v>
      </c>
      <c r="B354" s="9">
        <v>1092</v>
      </c>
    </row>
    <row r="355" spans="1:2" x14ac:dyDescent="0.3">
      <c r="A355" s="7" t="s">
        <v>57</v>
      </c>
      <c r="B355" s="9">
        <v>2072</v>
      </c>
    </row>
    <row r="356" spans="1:2" x14ac:dyDescent="0.3">
      <c r="A356" s="7" t="s">
        <v>17</v>
      </c>
      <c r="B356" s="9">
        <v>1862</v>
      </c>
    </row>
    <row r="357" spans="1:2" x14ac:dyDescent="0.3">
      <c r="A357" s="7" t="s">
        <v>41</v>
      </c>
      <c r="B357" s="9">
        <v>2748</v>
      </c>
    </row>
    <row r="358" spans="1:2" x14ac:dyDescent="0.3">
      <c r="A358" s="7" t="s">
        <v>37</v>
      </c>
      <c r="B358" s="9">
        <v>1354</v>
      </c>
    </row>
    <row r="359" spans="1:2" x14ac:dyDescent="0.3">
      <c r="A359" s="7" t="s">
        <v>33</v>
      </c>
      <c r="B359" s="9">
        <v>2037</v>
      </c>
    </row>
    <row r="360" spans="1:2" x14ac:dyDescent="0.3">
      <c r="A360" s="7" t="s">
        <v>37</v>
      </c>
      <c r="B360" s="9">
        <v>992</v>
      </c>
    </row>
    <row r="361" spans="1:2" x14ac:dyDescent="0.3">
      <c r="A361" s="7" t="s">
        <v>22</v>
      </c>
      <c r="B361" s="9">
        <v>1259</v>
      </c>
    </row>
    <row r="362" spans="1:2" x14ac:dyDescent="0.3">
      <c r="A362" s="7" t="s">
        <v>123</v>
      </c>
      <c r="B362" s="9">
        <v>891</v>
      </c>
    </row>
    <row r="363" spans="1:2" x14ac:dyDescent="0.3">
      <c r="A363" s="7" t="s">
        <v>17</v>
      </c>
      <c r="B363" s="9">
        <v>1547</v>
      </c>
    </row>
    <row r="364" spans="1:2" x14ac:dyDescent="0.3">
      <c r="A364" s="7" t="s">
        <v>41</v>
      </c>
      <c r="B364" s="9">
        <v>2469</v>
      </c>
    </row>
    <row r="365" spans="1:2" x14ac:dyDescent="0.3">
      <c r="A365" s="7" t="s">
        <v>17</v>
      </c>
      <c r="B365" s="9">
        <v>1655</v>
      </c>
    </row>
    <row r="366" spans="1:2" x14ac:dyDescent="0.3">
      <c r="A366" s="7" t="s">
        <v>57</v>
      </c>
      <c r="B366" s="9">
        <v>659</v>
      </c>
    </row>
    <row r="367" spans="1:2" x14ac:dyDescent="0.3">
      <c r="A367" s="7" t="s">
        <v>28</v>
      </c>
      <c r="B367" s="9">
        <v>1735</v>
      </c>
    </row>
    <row r="368" spans="1:2" x14ac:dyDescent="0.3">
      <c r="A368" s="7" t="s">
        <v>41</v>
      </c>
      <c r="B368" s="9">
        <v>2703</v>
      </c>
    </row>
    <row r="369" spans="1:2" x14ac:dyDescent="0.3">
      <c r="A369" s="7" t="s">
        <v>22</v>
      </c>
      <c r="B369" s="9">
        <v>2276</v>
      </c>
    </row>
    <row r="370" spans="1:2" x14ac:dyDescent="0.3">
      <c r="A370" s="7" t="s">
        <v>44</v>
      </c>
      <c r="B370" s="9">
        <v>2354</v>
      </c>
    </row>
    <row r="371" spans="1:2" x14ac:dyDescent="0.3">
      <c r="A371" s="7" t="s">
        <v>32</v>
      </c>
      <c r="B371" s="9">
        <v>2682</v>
      </c>
    </row>
    <row r="372" spans="1:2" x14ac:dyDescent="0.3">
      <c r="A372" s="7" t="s">
        <v>37</v>
      </c>
      <c r="B372" s="9">
        <v>1049</v>
      </c>
    </row>
    <row r="373" spans="1:2" x14ac:dyDescent="0.3">
      <c r="A373" s="7" t="s">
        <v>44</v>
      </c>
      <c r="B373" s="9">
        <v>1206</v>
      </c>
    </row>
    <row r="374" spans="1:2" x14ac:dyDescent="0.3">
      <c r="A374" s="7" t="s">
        <v>57</v>
      </c>
      <c r="B374" s="9">
        <v>1407</v>
      </c>
    </row>
    <row r="375" spans="1:2" x14ac:dyDescent="0.3">
      <c r="A375" s="7" t="s">
        <v>28</v>
      </c>
      <c r="B375" s="9">
        <v>2728</v>
      </c>
    </row>
    <row r="376" spans="1:2" x14ac:dyDescent="0.3">
      <c r="A376" s="7" t="s">
        <v>41</v>
      </c>
      <c r="B376" s="9">
        <v>1641</v>
      </c>
    </row>
    <row r="377" spans="1:2" x14ac:dyDescent="0.3">
      <c r="A377" s="7" t="s">
        <v>17</v>
      </c>
      <c r="B377" s="9">
        <v>2546</v>
      </c>
    </row>
    <row r="378" spans="1:2" x14ac:dyDescent="0.3">
      <c r="A378" s="7" t="s">
        <v>44</v>
      </c>
      <c r="B378" s="9">
        <v>2225</v>
      </c>
    </row>
    <row r="379" spans="1:2" x14ac:dyDescent="0.3">
      <c r="A379" s="7" t="s">
        <v>123</v>
      </c>
      <c r="B379" s="9">
        <v>1186</v>
      </c>
    </row>
    <row r="380" spans="1:2" x14ac:dyDescent="0.3">
      <c r="A380" s="7" t="s">
        <v>44</v>
      </c>
      <c r="B380" s="9">
        <v>1307</v>
      </c>
    </row>
    <row r="381" spans="1:2" x14ac:dyDescent="0.3">
      <c r="A381" s="7" t="s">
        <v>44</v>
      </c>
      <c r="B381" s="9">
        <v>1633</v>
      </c>
    </row>
    <row r="382" spans="1:2" x14ac:dyDescent="0.3">
      <c r="A382" s="7" t="s">
        <v>57</v>
      </c>
      <c r="B382" s="9">
        <v>637</v>
      </c>
    </row>
    <row r="383" spans="1:2" x14ac:dyDescent="0.3">
      <c r="A383" s="7" t="s">
        <v>22</v>
      </c>
      <c r="B383" s="9">
        <v>1340</v>
      </c>
    </row>
    <row r="384" spans="1:2" x14ac:dyDescent="0.3">
      <c r="A384" s="7" t="s">
        <v>41</v>
      </c>
      <c r="B384" s="9">
        <v>999</v>
      </c>
    </row>
    <row r="385" spans="1:2" x14ac:dyDescent="0.3">
      <c r="A385" s="7" t="s">
        <v>22</v>
      </c>
      <c r="B385" s="9">
        <v>2063</v>
      </c>
    </row>
    <row r="386" spans="1:2" x14ac:dyDescent="0.3">
      <c r="A386" s="7" t="s">
        <v>44</v>
      </c>
      <c r="B386" s="9">
        <v>1556</v>
      </c>
    </row>
    <row r="387" spans="1:2" x14ac:dyDescent="0.3">
      <c r="A387" s="7" t="s">
        <v>32</v>
      </c>
      <c r="B387" s="9">
        <v>2777</v>
      </c>
    </row>
    <row r="388" spans="1:2" x14ac:dyDescent="0.3">
      <c r="A388" s="7" t="s">
        <v>57</v>
      </c>
      <c r="B388" s="9">
        <v>1556</v>
      </c>
    </row>
    <row r="389" spans="1:2" x14ac:dyDescent="0.3">
      <c r="A389" s="7" t="s">
        <v>32</v>
      </c>
      <c r="B389" s="9">
        <v>984</v>
      </c>
    </row>
    <row r="390" spans="1:2" x14ac:dyDescent="0.3">
      <c r="A390" s="7" t="s">
        <v>41</v>
      </c>
      <c r="B390" s="9">
        <v>336</v>
      </c>
    </row>
    <row r="391" spans="1:2" x14ac:dyDescent="0.3">
      <c r="A391" s="7" t="s">
        <v>37</v>
      </c>
      <c r="B391" s="9">
        <v>2879</v>
      </c>
    </row>
    <row r="392" spans="1:2" x14ac:dyDescent="0.3">
      <c r="A392" s="7" t="s">
        <v>17</v>
      </c>
      <c r="B392" s="9">
        <v>2675</v>
      </c>
    </row>
    <row r="393" spans="1:2" x14ac:dyDescent="0.3">
      <c r="A393" s="7" t="s">
        <v>22</v>
      </c>
      <c r="B393" s="9">
        <v>783</v>
      </c>
    </row>
    <row r="394" spans="1:2" x14ac:dyDescent="0.3">
      <c r="A394" s="7" t="s">
        <v>57</v>
      </c>
      <c r="B394" s="9">
        <v>1847</v>
      </c>
    </row>
    <row r="395" spans="1:2" x14ac:dyDescent="0.3">
      <c r="A395" s="7" t="s">
        <v>28</v>
      </c>
      <c r="B395" s="9">
        <v>2155</v>
      </c>
    </row>
    <row r="396" spans="1:2" x14ac:dyDescent="0.3">
      <c r="A396" s="7" t="s">
        <v>41</v>
      </c>
      <c r="B396" s="9">
        <v>1715</v>
      </c>
    </row>
    <row r="397" spans="1:2" x14ac:dyDescent="0.3">
      <c r="A397" s="7" t="s">
        <v>32</v>
      </c>
      <c r="B397" s="9">
        <v>869</v>
      </c>
    </row>
    <row r="398" spans="1:2" x14ac:dyDescent="0.3">
      <c r="A398" s="7" t="s">
        <v>57</v>
      </c>
      <c r="B398" s="9">
        <v>2439</v>
      </c>
    </row>
    <row r="399" spans="1:2" x14ac:dyDescent="0.3">
      <c r="A399" s="7" t="s">
        <v>32</v>
      </c>
      <c r="B399" s="9">
        <v>1612</v>
      </c>
    </row>
    <row r="400" spans="1:2" x14ac:dyDescent="0.3">
      <c r="A400" s="7" t="s">
        <v>28</v>
      </c>
      <c r="B400" s="9">
        <v>2289</v>
      </c>
    </row>
    <row r="401" spans="1:2" x14ac:dyDescent="0.3">
      <c r="A401" s="7" t="s">
        <v>32</v>
      </c>
      <c r="B401" s="9">
        <v>1982</v>
      </c>
    </row>
    <row r="402" spans="1:2" x14ac:dyDescent="0.3">
      <c r="A402" s="7" t="s">
        <v>37</v>
      </c>
      <c r="B402" s="9">
        <v>2555</v>
      </c>
    </row>
    <row r="403" spans="1:2" x14ac:dyDescent="0.3">
      <c r="A403" s="7" t="s">
        <v>37</v>
      </c>
      <c r="B403" s="9">
        <v>648</v>
      </c>
    </row>
    <row r="404" spans="1:2" x14ac:dyDescent="0.3">
      <c r="A404" s="7" t="s">
        <v>44</v>
      </c>
      <c r="B404" s="9">
        <v>2426</v>
      </c>
    </row>
    <row r="405" spans="1:2" x14ac:dyDescent="0.3">
      <c r="A405" s="7" t="s">
        <v>17</v>
      </c>
      <c r="B405" s="9">
        <v>1217</v>
      </c>
    </row>
    <row r="406" spans="1:2" x14ac:dyDescent="0.3">
      <c r="A406" s="7" t="s">
        <v>44</v>
      </c>
      <c r="B406" s="9">
        <v>974</v>
      </c>
    </row>
    <row r="407" spans="1:2" x14ac:dyDescent="0.3">
      <c r="A407" s="7" t="s">
        <v>28</v>
      </c>
      <c r="B407" s="9">
        <v>2294</v>
      </c>
    </row>
    <row r="408" spans="1:2" x14ac:dyDescent="0.3">
      <c r="A408" s="7" t="s">
        <v>41</v>
      </c>
      <c r="B408" s="9">
        <v>2570</v>
      </c>
    </row>
    <row r="409" spans="1:2" x14ac:dyDescent="0.3">
      <c r="A409" s="7" t="s">
        <v>33</v>
      </c>
      <c r="B409" s="9">
        <v>328</v>
      </c>
    </row>
    <row r="410" spans="1:2" x14ac:dyDescent="0.3">
      <c r="A410" s="7" t="s">
        <v>17</v>
      </c>
      <c r="B410" s="9">
        <v>999</v>
      </c>
    </row>
    <row r="411" spans="1:2" x14ac:dyDescent="0.3">
      <c r="A411" s="7" t="s">
        <v>44</v>
      </c>
      <c r="B411" s="9">
        <v>1199</v>
      </c>
    </row>
    <row r="412" spans="1:2" x14ac:dyDescent="0.3">
      <c r="A412" s="7" t="s">
        <v>33</v>
      </c>
      <c r="B412" s="9">
        <v>2557</v>
      </c>
    </row>
    <row r="413" spans="1:2" x14ac:dyDescent="0.3">
      <c r="A413" s="7" t="s">
        <v>28</v>
      </c>
      <c r="B413" s="9">
        <v>2839</v>
      </c>
    </row>
    <row r="414" spans="1:2" x14ac:dyDescent="0.3">
      <c r="A414" s="7" t="s">
        <v>41</v>
      </c>
      <c r="B414" s="9">
        <v>986</v>
      </c>
    </row>
    <row r="415" spans="1:2" x14ac:dyDescent="0.3">
      <c r="A415" s="7" t="s">
        <v>28</v>
      </c>
      <c r="B415" s="9">
        <v>1859</v>
      </c>
    </row>
    <row r="416" spans="1:2" x14ac:dyDescent="0.3">
      <c r="A416" s="7" t="s">
        <v>32</v>
      </c>
      <c r="B416" s="9">
        <v>2683</v>
      </c>
    </row>
    <row r="417" spans="1:2" x14ac:dyDescent="0.3">
      <c r="A417" s="7" t="s">
        <v>37</v>
      </c>
      <c r="B417" s="9">
        <v>2650</v>
      </c>
    </row>
    <row r="418" spans="1:2" x14ac:dyDescent="0.3">
      <c r="A418" s="7" t="s">
        <v>41</v>
      </c>
      <c r="B418" s="9">
        <v>2263</v>
      </c>
    </row>
    <row r="419" spans="1:2" x14ac:dyDescent="0.3">
      <c r="A419" s="7" t="s">
        <v>32</v>
      </c>
      <c r="B419" s="9">
        <v>1078</v>
      </c>
    </row>
    <row r="420" spans="1:2" x14ac:dyDescent="0.3">
      <c r="A420" s="7" t="s">
        <v>33</v>
      </c>
      <c r="B420" s="9">
        <v>885</v>
      </c>
    </row>
    <row r="421" spans="1:2" x14ac:dyDescent="0.3">
      <c r="A421" s="7" t="s">
        <v>22</v>
      </c>
      <c r="B421" s="9">
        <v>1185</v>
      </c>
    </row>
    <row r="422" spans="1:2" x14ac:dyDescent="0.3">
      <c r="A422" s="7" t="s">
        <v>44</v>
      </c>
      <c r="B422" s="9">
        <v>727</v>
      </c>
    </row>
    <row r="423" spans="1:2" x14ac:dyDescent="0.3">
      <c r="A423" s="7" t="s">
        <v>57</v>
      </c>
      <c r="B423" s="9">
        <v>1891</v>
      </c>
    </row>
    <row r="424" spans="1:2" x14ac:dyDescent="0.3">
      <c r="A424" s="7" t="s">
        <v>28</v>
      </c>
      <c r="B424" s="9">
        <v>1499</v>
      </c>
    </row>
    <row r="425" spans="1:2" x14ac:dyDescent="0.3">
      <c r="A425" s="7" t="s">
        <v>37</v>
      </c>
      <c r="B425" s="9">
        <v>1383</v>
      </c>
    </row>
    <row r="426" spans="1:2" x14ac:dyDescent="0.3">
      <c r="A426" s="7" t="s">
        <v>41</v>
      </c>
      <c r="B426" s="9">
        <v>1202</v>
      </c>
    </row>
    <row r="427" spans="1:2" x14ac:dyDescent="0.3">
      <c r="A427" s="7" t="s">
        <v>33</v>
      </c>
      <c r="B427" s="9">
        <v>1739</v>
      </c>
    </row>
    <row r="428" spans="1:2" x14ac:dyDescent="0.3">
      <c r="A428" s="7" t="s">
        <v>33</v>
      </c>
      <c r="B428" s="9">
        <v>1530</v>
      </c>
    </row>
    <row r="429" spans="1:2" x14ac:dyDescent="0.3">
      <c r="A429" s="7" t="s">
        <v>17</v>
      </c>
      <c r="B429" s="9">
        <v>1270</v>
      </c>
    </row>
    <row r="430" spans="1:2" x14ac:dyDescent="0.3">
      <c r="A430" s="7" t="s">
        <v>22</v>
      </c>
      <c r="B430" s="9">
        <v>2009</v>
      </c>
    </row>
    <row r="431" spans="1:2" x14ac:dyDescent="0.3">
      <c r="A431" s="7" t="s">
        <v>32</v>
      </c>
      <c r="B431" s="9">
        <v>2904</v>
      </c>
    </row>
    <row r="432" spans="1:2" x14ac:dyDescent="0.3">
      <c r="A432" s="7" t="s">
        <v>44</v>
      </c>
      <c r="B432" s="9">
        <v>1643</v>
      </c>
    </row>
    <row r="433" spans="1:2" x14ac:dyDescent="0.3">
      <c r="A433" s="7" t="s">
        <v>44</v>
      </c>
      <c r="B433" s="9">
        <v>2312</v>
      </c>
    </row>
    <row r="434" spans="1:2" x14ac:dyDescent="0.3">
      <c r="A434" s="7" t="s">
        <v>44</v>
      </c>
      <c r="B434" s="9">
        <v>2748</v>
      </c>
    </row>
    <row r="435" spans="1:2" x14ac:dyDescent="0.3">
      <c r="A435" s="7" t="s">
        <v>37</v>
      </c>
      <c r="B435" s="9">
        <v>1566</v>
      </c>
    </row>
    <row r="436" spans="1:2" x14ac:dyDescent="0.3">
      <c r="A436" s="7" t="s">
        <v>44</v>
      </c>
      <c r="B436" s="9">
        <v>371</v>
      </c>
    </row>
    <row r="437" spans="1:2" x14ac:dyDescent="0.3">
      <c r="A437" s="7" t="s">
        <v>28</v>
      </c>
      <c r="B437" s="9">
        <v>2249</v>
      </c>
    </row>
    <row r="438" spans="1:2" x14ac:dyDescent="0.3">
      <c r="A438" s="7" t="s">
        <v>37</v>
      </c>
      <c r="B438" s="9">
        <v>961</v>
      </c>
    </row>
    <row r="439" spans="1:2" x14ac:dyDescent="0.3">
      <c r="A439" s="7" t="s">
        <v>33</v>
      </c>
      <c r="B439" s="9">
        <v>1876</v>
      </c>
    </row>
    <row r="440" spans="1:2" x14ac:dyDescent="0.3">
      <c r="A440" s="7" t="s">
        <v>123</v>
      </c>
      <c r="B440" s="9">
        <v>2499</v>
      </c>
    </row>
    <row r="441" spans="1:2" x14ac:dyDescent="0.3">
      <c r="A441" s="7" t="s">
        <v>41</v>
      </c>
      <c r="B441" s="9">
        <v>2183</v>
      </c>
    </row>
    <row r="442" spans="1:2" x14ac:dyDescent="0.3">
      <c r="A442" s="7" t="s">
        <v>32</v>
      </c>
      <c r="B442" s="9">
        <v>410</v>
      </c>
    </row>
    <row r="443" spans="1:2" x14ac:dyDescent="0.3">
      <c r="A443" s="7" t="s">
        <v>28</v>
      </c>
      <c r="B443" s="9">
        <v>1015</v>
      </c>
    </row>
    <row r="444" spans="1:2" x14ac:dyDescent="0.3">
      <c r="A444" s="7" t="s">
        <v>57</v>
      </c>
      <c r="B444" s="9">
        <v>1559</v>
      </c>
    </row>
    <row r="445" spans="1:2" x14ac:dyDescent="0.3">
      <c r="A445" s="7" t="s">
        <v>37</v>
      </c>
      <c r="B445" s="9">
        <v>2123</v>
      </c>
    </row>
    <row r="446" spans="1:2" x14ac:dyDescent="0.3">
      <c r="A446" s="7" t="s">
        <v>44</v>
      </c>
      <c r="B446" s="9">
        <v>2802</v>
      </c>
    </row>
    <row r="447" spans="1:2" x14ac:dyDescent="0.3">
      <c r="A447" s="7" t="s">
        <v>32</v>
      </c>
      <c r="B447" s="9">
        <v>1272</v>
      </c>
    </row>
    <row r="448" spans="1:2" x14ac:dyDescent="0.3">
      <c r="A448" s="7" t="s">
        <v>22</v>
      </c>
      <c r="B448" s="9">
        <v>1247</v>
      </c>
    </row>
    <row r="449" spans="1:2" x14ac:dyDescent="0.3">
      <c r="A449" s="7" t="s">
        <v>28</v>
      </c>
      <c r="B449" s="9">
        <v>1037</v>
      </c>
    </row>
    <row r="450" spans="1:2" x14ac:dyDescent="0.3">
      <c r="A450" s="7" t="s">
        <v>22</v>
      </c>
      <c r="B450" s="9">
        <v>2251</v>
      </c>
    </row>
    <row r="451" spans="1:2" x14ac:dyDescent="0.3">
      <c r="A451" s="7" t="s">
        <v>57</v>
      </c>
      <c r="B451" s="9">
        <v>1493</v>
      </c>
    </row>
    <row r="452" spans="1:2" x14ac:dyDescent="0.3">
      <c r="A452" s="7" t="s">
        <v>44</v>
      </c>
      <c r="B452" s="9">
        <v>515</v>
      </c>
    </row>
    <row r="453" spans="1:2" x14ac:dyDescent="0.3">
      <c r="A453" s="7" t="s">
        <v>32</v>
      </c>
      <c r="B453" s="9">
        <v>1587</v>
      </c>
    </row>
    <row r="454" spans="1:2" x14ac:dyDescent="0.3">
      <c r="A454" s="7" t="s">
        <v>32</v>
      </c>
      <c r="B454" s="9">
        <v>1547</v>
      </c>
    </row>
    <row r="455" spans="1:2" x14ac:dyDescent="0.3">
      <c r="A455" s="7" t="s">
        <v>32</v>
      </c>
      <c r="B455" s="9">
        <v>2227</v>
      </c>
    </row>
    <row r="456" spans="1:2" x14ac:dyDescent="0.3">
      <c r="A456" s="7" t="s">
        <v>57</v>
      </c>
      <c r="B456" s="9">
        <v>1387</v>
      </c>
    </row>
    <row r="457" spans="1:2" x14ac:dyDescent="0.3">
      <c r="A457" s="7" t="s">
        <v>22</v>
      </c>
      <c r="B457" s="9">
        <v>1574</v>
      </c>
    </row>
    <row r="458" spans="1:2" x14ac:dyDescent="0.3">
      <c r="A458" s="7" t="s">
        <v>32</v>
      </c>
      <c r="B458" s="9">
        <v>1030</v>
      </c>
    </row>
    <row r="459" spans="1:2" x14ac:dyDescent="0.3">
      <c r="A459" s="7" t="s">
        <v>57</v>
      </c>
      <c r="B459" s="9">
        <v>1848</v>
      </c>
    </row>
    <row r="460" spans="1:2" x14ac:dyDescent="0.3">
      <c r="A460" s="7" t="s">
        <v>33</v>
      </c>
      <c r="B460" s="9">
        <v>2280</v>
      </c>
    </row>
    <row r="461" spans="1:2" x14ac:dyDescent="0.3">
      <c r="A461" s="7" t="s">
        <v>28</v>
      </c>
      <c r="B461" s="9">
        <v>2016</v>
      </c>
    </row>
    <row r="462" spans="1:2" x14ac:dyDescent="0.3">
      <c r="A462" s="7" t="s">
        <v>17</v>
      </c>
      <c r="B462" s="9">
        <v>2285</v>
      </c>
    </row>
    <row r="463" spans="1:2" x14ac:dyDescent="0.3">
      <c r="A463" s="7" t="s">
        <v>22</v>
      </c>
      <c r="B463" s="9">
        <v>2434</v>
      </c>
    </row>
    <row r="464" spans="1:2" x14ac:dyDescent="0.3">
      <c r="A464" s="7" t="s">
        <v>44</v>
      </c>
      <c r="B464" s="9">
        <v>1585</v>
      </c>
    </row>
    <row r="465" spans="1:2" x14ac:dyDescent="0.3">
      <c r="A465" s="7" t="s">
        <v>32</v>
      </c>
      <c r="B465" s="9">
        <v>2068</v>
      </c>
    </row>
    <row r="466" spans="1:2" x14ac:dyDescent="0.3">
      <c r="A466" s="7" t="s">
        <v>123</v>
      </c>
      <c r="B466" s="9">
        <v>1108</v>
      </c>
    </row>
    <row r="467" spans="1:2" x14ac:dyDescent="0.3">
      <c r="A467" s="7" t="s">
        <v>44</v>
      </c>
      <c r="B467" s="9">
        <v>2011</v>
      </c>
    </row>
    <row r="468" spans="1:2" x14ac:dyDescent="0.3">
      <c r="A468" s="7" t="s">
        <v>37</v>
      </c>
      <c r="B468" s="9">
        <v>2936</v>
      </c>
    </row>
    <row r="469" spans="1:2" x14ac:dyDescent="0.3">
      <c r="A469" s="7" t="s">
        <v>57</v>
      </c>
      <c r="B469" s="9">
        <v>2744</v>
      </c>
    </row>
    <row r="470" spans="1:2" x14ac:dyDescent="0.3">
      <c r="A470" s="7" t="s">
        <v>28</v>
      </c>
      <c r="B470" s="9">
        <v>1667</v>
      </c>
    </row>
    <row r="471" spans="1:2" x14ac:dyDescent="0.3">
      <c r="A471" s="7" t="s">
        <v>57</v>
      </c>
      <c r="B471" s="9">
        <v>2733</v>
      </c>
    </row>
    <row r="472" spans="1:2" x14ac:dyDescent="0.3">
      <c r="A472" s="7" t="s">
        <v>17</v>
      </c>
      <c r="B472" s="9">
        <v>2572</v>
      </c>
    </row>
    <row r="473" spans="1:2" x14ac:dyDescent="0.3">
      <c r="A473" s="7" t="s">
        <v>123</v>
      </c>
      <c r="B473" s="9">
        <v>1313</v>
      </c>
    </row>
    <row r="474" spans="1:2" x14ac:dyDescent="0.3">
      <c r="A474" s="7" t="s">
        <v>37</v>
      </c>
      <c r="B474" s="9">
        <v>1028</v>
      </c>
    </row>
    <row r="475" spans="1:2" x14ac:dyDescent="0.3">
      <c r="A475" s="7" t="s">
        <v>22</v>
      </c>
      <c r="B475" s="9">
        <v>2195</v>
      </c>
    </row>
    <row r="476" spans="1:2" x14ac:dyDescent="0.3">
      <c r="A476" s="7" t="s">
        <v>57</v>
      </c>
      <c r="B476" s="9">
        <v>2656</v>
      </c>
    </row>
    <row r="477" spans="1:2" x14ac:dyDescent="0.3">
      <c r="A477" s="7" t="s">
        <v>44</v>
      </c>
      <c r="B477" s="9">
        <v>1436</v>
      </c>
    </row>
    <row r="478" spans="1:2" x14ac:dyDescent="0.3">
      <c r="A478" s="7" t="s">
        <v>37</v>
      </c>
      <c r="B478" s="9">
        <v>1273</v>
      </c>
    </row>
    <row r="479" spans="1:2" x14ac:dyDescent="0.3">
      <c r="A479" s="7" t="s">
        <v>22</v>
      </c>
      <c r="B479" s="9">
        <v>1062</v>
      </c>
    </row>
    <row r="480" spans="1:2" x14ac:dyDescent="0.3">
      <c r="A480" s="7" t="s">
        <v>41</v>
      </c>
      <c r="B480" s="9">
        <v>334</v>
      </c>
    </row>
    <row r="481" spans="1:2" x14ac:dyDescent="0.3">
      <c r="A481" s="7" t="s">
        <v>33</v>
      </c>
      <c r="B481" s="9">
        <v>892</v>
      </c>
    </row>
    <row r="482" spans="1:2" x14ac:dyDescent="0.3">
      <c r="A482" s="7" t="s">
        <v>44</v>
      </c>
      <c r="B482" s="9">
        <v>2300</v>
      </c>
    </row>
    <row r="483" spans="1:2" x14ac:dyDescent="0.3">
      <c r="A483" s="7" t="s">
        <v>22</v>
      </c>
      <c r="B483" s="9">
        <v>2306</v>
      </c>
    </row>
    <row r="484" spans="1:2" x14ac:dyDescent="0.3">
      <c r="A484" s="7" t="s">
        <v>17</v>
      </c>
      <c r="B484" s="9">
        <v>2356</v>
      </c>
    </row>
    <row r="485" spans="1:2" x14ac:dyDescent="0.3">
      <c r="A485" s="7" t="s">
        <v>22</v>
      </c>
      <c r="B485" s="9">
        <v>2013</v>
      </c>
    </row>
    <row r="486" spans="1:2" x14ac:dyDescent="0.3">
      <c r="A486" s="7" t="s">
        <v>57</v>
      </c>
      <c r="B486" s="9">
        <v>2462</v>
      </c>
    </row>
    <row r="487" spans="1:2" x14ac:dyDescent="0.3">
      <c r="A487" s="7" t="s">
        <v>57</v>
      </c>
      <c r="B487" s="9">
        <v>709</v>
      </c>
    </row>
    <row r="488" spans="1:2" x14ac:dyDescent="0.3">
      <c r="A488" s="7" t="s">
        <v>33</v>
      </c>
      <c r="B488" s="9">
        <v>541</v>
      </c>
    </row>
    <row r="489" spans="1:2" x14ac:dyDescent="0.3">
      <c r="A489" s="7" t="s">
        <v>44</v>
      </c>
      <c r="B489" s="9">
        <v>1646</v>
      </c>
    </row>
    <row r="490" spans="1:2" x14ac:dyDescent="0.3">
      <c r="A490" s="7" t="s">
        <v>22</v>
      </c>
      <c r="B490" s="9">
        <v>616</v>
      </c>
    </row>
    <row r="491" spans="1:2" x14ac:dyDescent="0.3">
      <c r="A491" s="7" t="s">
        <v>123</v>
      </c>
      <c r="B491" s="9">
        <v>2871</v>
      </c>
    </row>
    <row r="492" spans="1:2" x14ac:dyDescent="0.3">
      <c r="A492" s="7" t="s">
        <v>37</v>
      </c>
      <c r="B492" s="9">
        <v>883</v>
      </c>
    </row>
    <row r="493" spans="1:2" x14ac:dyDescent="0.3">
      <c r="A493" s="7" t="s">
        <v>44</v>
      </c>
      <c r="B493" s="9">
        <v>2343</v>
      </c>
    </row>
    <row r="494" spans="1:2" x14ac:dyDescent="0.3">
      <c r="A494" s="7" t="s">
        <v>17</v>
      </c>
      <c r="B494" s="9">
        <v>815</v>
      </c>
    </row>
    <row r="495" spans="1:2" x14ac:dyDescent="0.3">
      <c r="A495" s="7" t="s">
        <v>57</v>
      </c>
      <c r="B495" s="9">
        <v>313</v>
      </c>
    </row>
    <row r="496" spans="1:2" x14ac:dyDescent="0.3">
      <c r="A496" s="7" t="s">
        <v>41</v>
      </c>
      <c r="B496" s="9">
        <v>703</v>
      </c>
    </row>
    <row r="497" spans="1:2" x14ac:dyDescent="0.3">
      <c r="A497" s="7" t="s">
        <v>37</v>
      </c>
      <c r="B497" s="9">
        <v>2767</v>
      </c>
    </row>
    <row r="498" spans="1:2" x14ac:dyDescent="0.3">
      <c r="A498" s="7" t="s">
        <v>41</v>
      </c>
      <c r="B498" s="9">
        <v>2882</v>
      </c>
    </row>
    <row r="499" spans="1:2" x14ac:dyDescent="0.3">
      <c r="A499" s="7" t="s">
        <v>28</v>
      </c>
      <c r="B499" s="9">
        <v>490</v>
      </c>
    </row>
    <row r="500" spans="1:2" x14ac:dyDescent="0.3">
      <c r="A500" s="7" t="s">
        <v>41</v>
      </c>
      <c r="B500" s="9">
        <v>677</v>
      </c>
    </row>
    <row r="501" spans="1:2" x14ac:dyDescent="0.3">
      <c r="A501" s="7" t="s">
        <v>33</v>
      </c>
      <c r="B501" s="9">
        <v>744</v>
      </c>
    </row>
    <row r="502" spans="1:2" x14ac:dyDescent="0.3">
      <c r="A502" s="7" t="s">
        <v>37</v>
      </c>
      <c r="B502" s="9">
        <v>1407</v>
      </c>
    </row>
    <row r="503" spans="1:2" x14ac:dyDescent="0.3">
      <c r="A503" s="7" t="s">
        <v>41</v>
      </c>
      <c r="B503" s="9">
        <v>584</v>
      </c>
    </row>
    <row r="504" spans="1:2" x14ac:dyDescent="0.3">
      <c r="A504" s="7" t="s">
        <v>28</v>
      </c>
      <c r="B504" s="9">
        <v>594</v>
      </c>
    </row>
    <row r="505" spans="1:2" x14ac:dyDescent="0.3">
      <c r="A505" s="7" t="s">
        <v>32</v>
      </c>
      <c r="B505" s="9">
        <v>2335</v>
      </c>
    </row>
    <row r="506" spans="1:2" x14ac:dyDescent="0.3">
      <c r="A506" s="7" t="s">
        <v>32</v>
      </c>
      <c r="B506" s="9">
        <v>2343</v>
      </c>
    </row>
    <row r="507" spans="1:2" x14ac:dyDescent="0.3">
      <c r="A507" s="7" t="s">
        <v>17</v>
      </c>
      <c r="B507" s="9">
        <v>1980</v>
      </c>
    </row>
    <row r="508" spans="1:2" x14ac:dyDescent="0.3">
      <c r="A508" s="7" t="s">
        <v>17</v>
      </c>
      <c r="B508" s="9">
        <v>1255</v>
      </c>
    </row>
    <row r="509" spans="1:2" x14ac:dyDescent="0.3">
      <c r="A509" s="7" t="s">
        <v>41</v>
      </c>
      <c r="B509" s="9">
        <v>1565</v>
      </c>
    </row>
    <row r="510" spans="1:2" x14ac:dyDescent="0.3">
      <c r="A510" s="7" t="s">
        <v>41</v>
      </c>
      <c r="B510" s="9">
        <v>2734</v>
      </c>
    </row>
    <row r="511" spans="1:2" x14ac:dyDescent="0.3">
      <c r="A511" s="7" t="s">
        <v>22</v>
      </c>
      <c r="B511" s="9">
        <v>606</v>
      </c>
    </row>
    <row r="512" spans="1:2" x14ac:dyDescent="0.3">
      <c r="A512" s="7" t="s">
        <v>41</v>
      </c>
      <c r="B512" s="9">
        <v>820</v>
      </c>
    </row>
    <row r="513" spans="1:2" x14ac:dyDescent="0.3">
      <c r="A513" s="7" t="s">
        <v>33</v>
      </c>
      <c r="B513" s="9">
        <v>577</v>
      </c>
    </row>
    <row r="514" spans="1:2" x14ac:dyDescent="0.3">
      <c r="A514" s="7" t="s">
        <v>17</v>
      </c>
      <c r="B514" s="9">
        <v>1874</v>
      </c>
    </row>
    <row r="515" spans="1:2" x14ac:dyDescent="0.3">
      <c r="A515" s="7" t="s">
        <v>28</v>
      </c>
      <c r="B515" s="9">
        <v>617</v>
      </c>
    </row>
    <row r="516" spans="1:2" x14ac:dyDescent="0.3">
      <c r="A516" s="7" t="s">
        <v>44</v>
      </c>
      <c r="B516" s="9">
        <v>2277</v>
      </c>
    </row>
    <row r="517" spans="1:2" x14ac:dyDescent="0.3">
      <c r="A517" s="7" t="s">
        <v>57</v>
      </c>
      <c r="B517" s="9">
        <v>662</v>
      </c>
    </row>
    <row r="518" spans="1:2" x14ac:dyDescent="0.3">
      <c r="A518" s="7" t="s">
        <v>17</v>
      </c>
      <c r="B518" s="9">
        <v>1710</v>
      </c>
    </row>
    <row r="519" spans="1:2" x14ac:dyDescent="0.3">
      <c r="A519" s="7" t="s">
        <v>44</v>
      </c>
      <c r="B519" s="9">
        <v>2653</v>
      </c>
    </row>
    <row r="520" spans="1:2" x14ac:dyDescent="0.3">
      <c r="A520" s="7" t="s">
        <v>32</v>
      </c>
      <c r="B520" s="9">
        <v>2539</v>
      </c>
    </row>
    <row r="521" spans="1:2" x14ac:dyDescent="0.3">
      <c r="A521" s="7" t="s">
        <v>57</v>
      </c>
      <c r="B521" s="9">
        <v>2429</v>
      </c>
    </row>
    <row r="522" spans="1:2" x14ac:dyDescent="0.3">
      <c r="A522" s="7" t="s">
        <v>28</v>
      </c>
      <c r="B522" s="9">
        <v>2189</v>
      </c>
    </row>
    <row r="523" spans="1:2" x14ac:dyDescent="0.3">
      <c r="A523" s="7" t="s">
        <v>44</v>
      </c>
      <c r="B523" s="9">
        <v>2814</v>
      </c>
    </row>
    <row r="524" spans="1:2" x14ac:dyDescent="0.3">
      <c r="A524" s="7" t="s">
        <v>33</v>
      </c>
      <c r="B524" s="9">
        <v>2504</v>
      </c>
    </row>
    <row r="525" spans="1:2" x14ac:dyDescent="0.3">
      <c r="A525" s="7" t="s">
        <v>57</v>
      </c>
      <c r="B525" s="9">
        <v>1687</v>
      </c>
    </row>
    <row r="526" spans="1:2" x14ac:dyDescent="0.3">
      <c r="A526" s="7" t="s">
        <v>37</v>
      </c>
      <c r="B526" s="9">
        <v>1753</v>
      </c>
    </row>
    <row r="527" spans="1:2" x14ac:dyDescent="0.3">
      <c r="A527" s="7" t="s">
        <v>28</v>
      </c>
      <c r="B527" s="9">
        <v>1411</v>
      </c>
    </row>
    <row r="528" spans="1:2" x14ac:dyDescent="0.3">
      <c r="A528" s="7" t="s">
        <v>32</v>
      </c>
      <c r="B528" s="9">
        <v>773</v>
      </c>
    </row>
    <row r="529" spans="1:2" x14ac:dyDescent="0.3">
      <c r="A529" s="7" t="s">
        <v>37</v>
      </c>
      <c r="B529" s="9">
        <v>2918</v>
      </c>
    </row>
    <row r="530" spans="1:2" x14ac:dyDescent="0.3">
      <c r="A530" s="7" t="s">
        <v>22</v>
      </c>
      <c r="B530" s="9">
        <v>1437</v>
      </c>
    </row>
    <row r="531" spans="1:2" x14ac:dyDescent="0.3">
      <c r="A531" s="7" t="s">
        <v>22</v>
      </c>
      <c r="B531" s="9">
        <v>1095</v>
      </c>
    </row>
    <row r="532" spans="1:2" x14ac:dyDescent="0.3">
      <c r="A532" s="7" t="s">
        <v>33</v>
      </c>
      <c r="B532" s="9">
        <v>2004</v>
      </c>
    </row>
    <row r="533" spans="1:2" x14ac:dyDescent="0.3">
      <c r="A533" s="7" t="s">
        <v>41</v>
      </c>
      <c r="B533" s="9">
        <v>2296</v>
      </c>
    </row>
    <row r="534" spans="1:2" x14ac:dyDescent="0.3">
      <c r="A534" s="7" t="s">
        <v>37</v>
      </c>
      <c r="B534" s="9">
        <v>2935</v>
      </c>
    </row>
    <row r="535" spans="1:2" x14ac:dyDescent="0.3">
      <c r="A535" s="7" t="s">
        <v>17</v>
      </c>
      <c r="B535" s="9">
        <v>1624</v>
      </c>
    </row>
    <row r="536" spans="1:2" x14ac:dyDescent="0.3">
      <c r="A536" s="7" t="s">
        <v>41</v>
      </c>
      <c r="B536" s="9">
        <v>389</v>
      </c>
    </row>
    <row r="537" spans="1:2" x14ac:dyDescent="0.3">
      <c r="A537" s="7" t="s">
        <v>17</v>
      </c>
      <c r="B537" s="9">
        <v>1316</v>
      </c>
    </row>
    <row r="538" spans="1:2" x14ac:dyDescent="0.3">
      <c r="A538" s="7" t="s">
        <v>17</v>
      </c>
      <c r="B538" s="9">
        <v>2712</v>
      </c>
    </row>
    <row r="539" spans="1:2" x14ac:dyDescent="0.3">
      <c r="A539" s="7" t="s">
        <v>22</v>
      </c>
      <c r="B539" s="9">
        <v>383</v>
      </c>
    </row>
    <row r="540" spans="1:2" x14ac:dyDescent="0.3">
      <c r="A540" s="7" t="s">
        <v>44</v>
      </c>
      <c r="B540" s="9">
        <v>2696</v>
      </c>
    </row>
    <row r="541" spans="1:2" x14ac:dyDescent="0.3">
      <c r="A541" s="7" t="s">
        <v>28</v>
      </c>
      <c r="B541" s="9">
        <v>1990</v>
      </c>
    </row>
    <row r="542" spans="1:2" x14ac:dyDescent="0.3">
      <c r="A542" s="7" t="s">
        <v>22</v>
      </c>
      <c r="B542" s="9">
        <v>1907</v>
      </c>
    </row>
    <row r="543" spans="1:2" x14ac:dyDescent="0.3">
      <c r="A543" s="7" t="s">
        <v>44</v>
      </c>
      <c r="B543" s="9">
        <v>652</v>
      </c>
    </row>
    <row r="544" spans="1:2" x14ac:dyDescent="0.3">
      <c r="A544" s="7" t="s">
        <v>32</v>
      </c>
      <c r="B544" s="9">
        <v>907</v>
      </c>
    </row>
    <row r="545" spans="1:2" x14ac:dyDescent="0.3">
      <c r="A545" s="7" t="s">
        <v>57</v>
      </c>
      <c r="B545" s="9">
        <v>1217</v>
      </c>
    </row>
    <row r="546" spans="1:2" x14ac:dyDescent="0.3">
      <c r="A546" s="7" t="s">
        <v>22</v>
      </c>
      <c r="B546" s="9">
        <v>2769</v>
      </c>
    </row>
    <row r="547" spans="1:2" x14ac:dyDescent="0.3">
      <c r="A547" s="7" t="s">
        <v>32</v>
      </c>
      <c r="B547" s="9">
        <v>2761</v>
      </c>
    </row>
    <row r="548" spans="1:2" x14ac:dyDescent="0.3">
      <c r="A548" s="7" t="s">
        <v>28</v>
      </c>
      <c r="B548" s="9">
        <v>1594</v>
      </c>
    </row>
    <row r="549" spans="1:2" x14ac:dyDescent="0.3">
      <c r="A549" s="7" t="s">
        <v>41</v>
      </c>
      <c r="B549" s="9">
        <v>611</v>
      </c>
    </row>
    <row r="550" spans="1:2" x14ac:dyDescent="0.3">
      <c r="A550" s="7" t="s">
        <v>57</v>
      </c>
      <c r="B550" s="9">
        <v>1013</v>
      </c>
    </row>
    <row r="551" spans="1:2" x14ac:dyDescent="0.3">
      <c r="A551" s="7" t="s">
        <v>41</v>
      </c>
      <c r="B551" s="9">
        <v>1173</v>
      </c>
    </row>
    <row r="552" spans="1:2" x14ac:dyDescent="0.3">
      <c r="A552" s="7" t="s">
        <v>28</v>
      </c>
      <c r="B552" s="9">
        <v>2313</v>
      </c>
    </row>
    <row r="553" spans="1:2" x14ac:dyDescent="0.3">
      <c r="A553" s="7" t="s">
        <v>123</v>
      </c>
      <c r="B553" s="9">
        <v>2384</v>
      </c>
    </row>
    <row r="554" spans="1:2" x14ac:dyDescent="0.3">
      <c r="A554" s="7" t="s">
        <v>44</v>
      </c>
      <c r="B554" s="9">
        <v>2571</v>
      </c>
    </row>
    <row r="555" spans="1:2" x14ac:dyDescent="0.3">
      <c r="A555" s="7" t="s">
        <v>44</v>
      </c>
      <c r="B555" s="9">
        <v>1382</v>
      </c>
    </row>
    <row r="556" spans="1:2" x14ac:dyDescent="0.3">
      <c r="A556" s="7" t="s">
        <v>32</v>
      </c>
      <c r="B556" s="9">
        <v>2109</v>
      </c>
    </row>
    <row r="557" spans="1:2" x14ac:dyDescent="0.3">
      <c r="A557" s="7" t="s">
        <v>57</v>
      </c>
      <c r="B557" s="9">
        <v>2282</v>
      </c>
    </row>
    <row r="558" spans="1:2" x14ac:dyDescent="0.3">
      <c r="A558" s="7" t="s">
        <v>41</v>
      </c>
      <c r="B558" s="9">
        <v>2440</v>
      </c>
    </row>
    <row r="559" spans="1:2" x14ac:dyDescent="0.3">
      <c r="A559" s="7" t="s">
        <v>28</v>
      </c>
      <c r="B559" s="9">
        <v>694</v>
      </c>
    </row>
    <row r="560" spans="1:2" x14ac:dyDescent="0.3">
      <c r="A560" s="7" t="s">
        <v>44</v>
      </c>
      <c r="B560" s="9">
        <v>573</v>
      </c>
    </row>
    <row r="561" spans="1:2" x14ac:dyDescent="0.3">
      <c r="A561" s="7" t="s">
        <v>44</v>
      </c>
      <c r="B561" s="9">
        <v>2806</v>
      </c>
    </row>
    <row r="562" spans="1:2" x14ac:dyDescent="0.3">
      <c r="A562" s="7" t="s">
        <v>41</v>
      </c>
      <c r="B562" s="9">
        <v>815</v>
      </c>
    </row>
    <row r="563" spans="1:2" x14ac:dyDescent="0.3">
      <c r="A563" s="7" t="s">
        <v>123</v>
      </c>
      <c r="B563" s="9">
        <v>848</v>
      </c>
    </row>
    <row r="564" spans="1:2" x14ac:dyDescent="0.3">
      <c r="A564" s="7" t="s">
        <v>57</v>
      </c>
      <c r="B564" s="9">
        <v>2848</v>
      </c>
    </row>
    <row r="565" spans="1:2" x14ac:dyDescent="0.3">
      <c r="A565" s="7" t="s">
        <v>44</v>
      </c>
      <c r="B565" s="9">
        <v>401</v>
      </c>
    </row>
    <row r="566" spans="1:2" x14ac:dyDescent="0.3">
      <c r="A566" s="7" t="s">
        <v>33</v>
      </c>
      <c r="B566" s="9">
        <v>2730</v>
      </c>
    </row>
    <row r="567" spans="1:2" x14ac:dyDescent="0.3">
      <c r="A567" s="7" t="s">
        <v>37</v>
      </c>
      <c r="B567" s="9">
        <v>852</v>
      </c>
    </row>
    <row r="568" spans="1:2" x14ac:dyDescent="0.3">
      <c r="A568" s="7" t="s">
        <v>22</v>
      </c>
      <c r="B568" s="9">
        <v>2480</v>
      </c>
    </row>
    <row r="569" spans="1:2" x14ac:dyDescent="0.3">
      <c r="A569" s="7" t="s">
        <v>41</v>
      </c>
      <c r="B569" s="9">
        <v>1545</v>
      </c>
    </row>
    <row r="570" spans="1:2" x14ac:dyDescent="0.3">
      <c r="A570" s="7" t="s">
        <v>123</v>
      </c>
      <c r="B570" s="9">
        <v>1867</v>
      </c>
    </row>
    <row r="571" spans="1:2" x14ac:dyDescent="0.3">
      <c r="A571" s="7" t="s">
        <v>33</v>
      </c>
      <c r="B571" s="9">
        <v>1925</v>
      </c>
    </row>
    <row r="572" spans="1:2" x14ac:dyDescent="0.3">
      <c r="A572" s="7" t="s">
        <v>57</v>
      </c>
      <c r="B572" s="9">
        <v>2175</v>
      </c>
    </row>
  </sheetData>
  <autoFilter ref="A5:B572" xr:uid="{D7726980-71B6-4B34-AE3B-D0B5534FD71C}"/>
  <mergeCells count="7">
    <mergeCell ref="B1:N2"/>
    <mergeCell ref="D4:F5"/>
    <mergeCell ref="D6:F7"/>
    <mergeCell ref="H21:L29"/>
    <mergeCell ref="H6:L13"/>
    <mergeCell ref="N21:O22"/>
    <mergeCell ref="N19:O20"/>
  </mergeCells>
  <phoneticPr fontId="20" type="noConversion"/>
  <conditionalFormatting sqref="E8">
    <cfRule type="colorScale" priority="12">
      <colorScale>
        <cfvo type="min"/>
        <cfvo type="percentile" val="50"/>
        <cfvo type="max"/>
        <color rgb="FFF8696B"/>
        <color rgb="FFFFEB84"/>
        <color rgb="FF63BE7B"/>
      </colorScale>
    </cfRule>
    <cfRule type="colorScale" priority="13">
      <colorScale>
        <cfvo type="min"/>
        <cfvo type="percentile" val="50"/>
        <cfvo type="max"/>
        <color rgb="FFF8696B"/>
        <color rgb="FFFFEB84"/>
        <color rgb="FF63BE7B"/>
      </colorScale>
    </cfRule>
  </conditionalFormatting>
  <conditionalFormatting sqref="E8">
    <cfRule type="colorScale" priority="11">
      <colorScale>
        <cfvo type="min"/>
        <cfvo type="percentile" val="50"/>
        <cfvo type="max"/>
        <color rgb="FFF8696B"/>
        <color rgb="FFFFEB84"/>
        <color rgb="FF63BE7B"/>
      </colorScale>
    </cfRule>
  </conditionalFormatting>
  <conditionalFormatting sqref="I5">
    <cfRule type="colorScale" priority="23">
      <colorScale>
        <cfvo type="min"/>
        <cfvo type="percentile" val="50"/>
        <cfvo type="max"/>
        <color rgb="FFF8696B"/>
        <color rgb="FFFFEB84"/>
        <color rgb="FF63BE7B"/>
      </colorScale>
    </cfRule>
  </conditionalFormatting>
  <conditionalFormatting sqref="I30:I31 I5 I43:I1048576 G33:G42">
    <cfRule type="colorScale" priority="22">
      <colorScale>
        <cfvo type="min"/>
        <cfvo type="percentile" val="50"/>
        <cfvo type="max"/>
        <color rgb="FFF8696B"/>
        <color rgb="FFFFEB84"/>
        <color rgb="FF63BE7B"/>
      </colorScale>
    </cfRule>
  </conditionalFormatting>
  <conditionalFormatting sqref="O23">
    <cfRule type="colorScale" priority="2">
      <colorScale>
        <cfvo type="min"/>
        <cfvo type="percentile" val="50"/>
        <cfvo type="max"/>
        <color rgb="FFF8696B"/>
        <color rgb="FFFFEB84"/>
        <color rgb="FF63BE7B"/>
      </colorScale>
    </cfRule>
    <cfRule type="colorScale" priority="3">
      <colorScale>
        <cfvo type="min"/>
        <cfvo type="percentile" val="50"/>
        <cfvo type="max"/>
        <color rgb="FFF8696B"/>
        <color rgb="FFFFEB84"/>
        <color rgb="FF63BE7B"/>
      </colorScale>
    </cfRule>
    <cfRule type="colorScale" priority="4">
      <colorScale>
        <cfvo type="min"/>
        <cfvo type="percentile" val="50"/>
        <cfvo type="max"/>
        <color rgb="FFF8696B"/>
        <color rgb="FFFFEB84"/>
        <color rgb="FF63BE7B"/>
      </colorScale>
    </cfRule>
  </conditionalFormatting>
  <conditionalFormatting pivot="1" sqref="E9:E20">
    <cfRule type="top10" dxfId="7" priority="1" rank="3"/>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68A10F-370C-483C-9E6F-23F509BF20B4}">
  <sheetPr>
    <tabColor rgb="FF7030A0"/>
  </sheetPr>
  <dimension ref="A1:X54"/>
  <sheetViews>
    <sheetView showGridLines="0" showRowColHeaders="0" tabSelected="1" topLeftCell="A9" zoomScale="130" zoomScaleNormal="130" workbookViewId="0">
      <selection activeCell="D30" sqref="D30"/>
    </sheetView>
  </sheetViews>
  <sheetFormatPr defaultRowHeight="14.4" x14ac:dyDescent="0.3"/>
  <cols>
    <col min="1" max="1" width="13.6640625" customWidth="1"/>
    <col min="2" max="2" width="25.21875" customWidth="1"/>
    <col min="3" max="3" width="10.21875" customWidth="1"/>
    <col min="5" max="5" width="13.88671875" bestFit="1" customWidth="1"/>
    <col min="6" max="6" width="11.5546875" bestFit="1" customWidth="1"/>
    <col min="7" max="7" width="13.109375" bestFit="1" customWidth="1"/>
    <col min="8" max="8" width="16.6640625" bestFit="1" customWidth="1"/>
    <col min="9" max="9" width="14.33203125" bestFit="1" customWidth="1"/>
    <col min="11" max="11" width="14.77734375" customWidth="1"/>
    <col min="12" max="12" width="20.109375" customWidth="1"/>
    <col min="14" max="14" width="15" customWidth="1"/>
    <col min="15" max="15" width="6" customWidth="1"/>
    <col min="16" max="16" width="17.6640625" customWidth="1"/>
    <col min="17" max="17" width="15.33203125" bestFit="1" customWidth="1"/>
    <col min="18" max="19" width="8.88671875" customWidth="1"/>
  </cols>
  <sheetData>
    <row r="1" spans="1:24" x14ac:dyDescent="0.3">
      <c r="A1" s="83"/>
      <c r="B1" s="83"/>
      <c r="C1" s="83"/>
      <c r="D1" s="83"/>
      <c r="E1" s="83"/>
      <c r="F1" s="83"/>
      <c r="G1" s="83"/>
      <c r="H1" s="83"/>
      <c r="I1" s="83"/>
      <c r="J1" s="83"/>
      <c r="K1" s="83"/>
      <c r="L1" s="83"/>
      <c r="M1" s="83"/>
      <c r="N1" s="83"/>
      <c r="O1" s="83"/>
      <c r="P1" s="83"/>
      <c r="Q1" s="83"/>
      <c r="R1" s="83"/>
      <c r="S1" s="83"/>
      <c r="T1" s="83"/>
      <c r="U1" s="83"/>
      <c r="V1" s="83"/>
      <c r="W1" s="83"/>
      <c r="X1" s="83"/>
    </row>
    <row r="2" spans="1:24" x14ac:dyDescent="0.3">
      <c r="A2" s="83"/>
      <c r="B2" s="83"/>
      <c r="C2" s="83"/>
      <c r="D2" s="83"/>
      <c r="E2" s="83"/>
      <c r="F2" s="83"/>
      <c r="G2" s="83"/>
      <c r="H2" s="83"/>
      <c r="I2" s="83"/>
      <c r="J2" s="83"/>
      <c r="K2" s="83"/>
      <c r="L2" s="83"/>
      <c r="M2" s="83"/>
      <c r="N2" s="83"/>
      <c r="O2" s="83"/>
      <c r="P2" s="83"/>
      <c r="Q2" s="83"/>
      <c r="R2" s="83"/>
      <c r="S2" s="83"/>
      <c r="T2" s="83"/>
      <c r="U2" s="83"/>
      <c r="V2" s="83"/>
      <c r="W2" s="83"/>
      <c r="X2" s="83"/>
    </row>
    <row r="3" spans="1:24" x14ac:dyDescent="0.3">
      <c r="A3" s="83"/>
      <c r="B3" s="83"/>
      <c r="C3" s="83"/>
      <c r="D3" s="83"/>
      <c r="E3" s="83"/>
      <c r="F3" s="83"/>
      <c r="G3" s="83"/>
      <c r="H3" s="83"/>
      <c r="I3" s="83"/>
      <c r="J3" s="83"/>
      <c r="K3" s="83"/>
      <c r="L3" s="83"/>
      <c r="M3" s="83"/>
      <c r="N3" s="83"/>
      <c r="O3" s="83"/>
      <c r="P3" s="83"/>
      <c r="Q3" s="83"/>
      <c r="R3" s="83"/>
      <c r="S3" s="83"/>
      <c r="T3" s="83"/>
      <c r="U3" s="83"/>
      <c r="V3" s="83"/>
      <c r="W3" s="83"/>
      <c r="X3" s="83"/>
    </row>
    <row r="5" spans="1:24" ht="15" thickBot="1" x14ac:dyDescent="0.35"/>
    <row r="6" spans="1:24" ht="14.4" customHeight="1" x14ac:dyDescent="0.3">
      <c r="A6" s="84" t="s">
        <v>350</v>
      </c>
      <c r="B6" s="85"/>
      <c r="C6" s="85"/>
      <c r="D6" s="85"/>
      <c r="E6" s="85"/>
      <c r="F6" s="85"/>
      <c r="G6" s="85"/>
      <c r="H6" s="85"/>
      <c r="I6" s="85"/>
      <c r="J6" s="85"/>
      <c r="K6" s="85"/>
      <c r="L6" s="85"/>
      <c r="M6" s="85"/>
      <c r="N6" s="86"/>
      <c r="P6" s="90" t="s">
        <v>356</v>
      </c>
      <c r="Q6" s="90"/>
    </row>
    <row r="7" spans="1:24" ht="15" thickBot="1" x14ac:dyDescent="0.35">
      <c r="A7" s="87"/>
      <c r="B7" s="88"/>
      <c r="C7" s="88"/>
      <c r="D7" s="88"/>
      <c r="E7" s="88"/>
      <c r="F7" s="88"/>
      <c r="G7" s="88"/>
      <c r="H7" s="88"/>
      <c r="I7" s="88"/>
      <c r="J7" s="88"/>
      <c r="K7" s="88"/>
      <c r="L7" s="88"/>
      <c r="M7" s="88"/>
      <c r="N7" s="89"/>
      <c r="P7" s="92" t="s">
        <v>357</v>
      </c>
      <c r="Q7" s="93"/>
    </row>
    <row r="8" spans="1:24" ht="15" thickBot="1" x14ac:dyDescent="0.35">
      <c r="A8" s="40" t="s">
        <v>0</v>
      </c>
      <c r="B8" s="41" t="s">
        <v>1</v>
      </c>
      <c r="C8" s="42" t="s">
        <v>2</v>
      </c>
      <c r="D8" s="41" t="s">
        <v>3</v>
      </c>
      <c r="E8" s="43" t="s">
        <v>4</v>
      </c>
      <c r="F8" s="43" t="s">
        <v>5</v>
      </c>
      <c r="G8" s="44" t="s">
        <v>6</v>
      </c>
      <c r="H8" s="45" t="s">
        <v>7</v>
      </c>
      <c r="I8" s="45" t="s">
        <v>8</v>
      </c>
      <c r="J8" s="45" t="s">
        <v>9</v>
      </c>
      <c r="K8" s="46" t="s">
        <v>10</v>
      </c>
      <c r="L8" s="44" t="s">
        <v>11</v>
      </c>
      <c r="M8" s="47" t="s">
        <v>12</v>
      </c>
      <c r="N8" s="21" t="s">
        <v>345</v>
      </c>
      <c r="P8" s="12" t="s">
        <v>346</v>
      </c>
      <c r="Q8" t="s">
        <v>355</v>
      </c>
    </row>
    <row r="9" spans="1:24" ht="15" thickBot="1" x14ac:dyDescent="0.35">
      <c r="A9" s="24" t="s">
        <v>126</v>
      </c>
      <c r="B9" s="27" t="s">
        <v>20</v>
      </c>
      <c r="C9" s="30">
        <v>45497</v>
      </c>
      <c r="D9" s="27" t="s">
        <v>31</v>
      </c>
      <c r="E9" s="27" t="s">
        <v>40</v>
      </c>
      <c r="F9" s="27" t="s">
        <v>41</v>
      </c>
      <c r="G9" s="33">
        <v>22914</v>
      </c>
      <c r="H9" s="35">
        <v>954</v>
      </c>
      <c r="I9" s="35">
        <v>584</v>
      </c>
      <c r="J9" s="35">
        <v>1519</v>
      </c>
      <c r="K9" s="37">
        <v>13637</v>
      </c>
      <c r="L9" s="33">
        <v>49847</v>
      </c>
      <c r="M9" s="25" t="s">
        <v>18</v>
      </c>
      <c r="N9" s="22">
        <f t="shared" ref="N9:N18" si="0">(G9+H9+I9)/L9</f>
        <v>0.49054105563022848</v>
      </c>
      <c r="P9" s="13" t="s">
        <v>27</v>
      </c>
      <c r="Q9" s="17">
        <v>1592.72</v>
      </c>
    </row>
    <row r="10" spans="1:24" ht="15" thickBot="1" x14ac:dyDescent="0.35">
      <c r="A10" s="25" t="s">
        <v>245</v>
      </c>
      <c r="B10" s="28" t="s">
        <v>14</v>
      </c>
      <c r="C10" s="31">
        <v>45672</v>
      </c>
      <c r="D10" s="28" t="s">
        <v>26</v>
      </c>
      <c r="E10" s="28" t="s">
        <v>37</v>
      </c>
      <c r="F10" s="28"/>
      <c r="G10" s="33">
        <v>20360</v>
      </c>
      <c r="H10" s="35">
        <v>254</v>
      </c>
      <c r="I10" s="35">
        <v>726</v>
      </c>
      <c r="J10" s="35">
        <v>1995</v>
      </c>
      <c r="K10" s="38">
        <v>14280</v>
      </c>
      <c r="L10" s="33">
        <v>43726</v>
      </c>
      <c r="M10" s="25" t="s">
        <v>34</v>
      </c>
      <c r="N10" s="22">
        <f t="shared" si="0"/>
        <v>0.48803915290673738</v>
      </c>
      <c r="P10" s="13" t="s">
        <v>32</v>
      </c>
      <c r="Q10" s="17">
        <v>1541.3725490196077</v>
      </c>
    </row>
    <row r="11" spans="1:24" ht="15" thickBot="1" x14ac:dyDescent="0.35">
      <c r="A11" s="25" t="s">
        <v>165</v>
      </c>
      <c r="B11" s="28" t="s">
        <v>20</v>
      </c>
      <c r="C11" s="31">
        <v>45502</v>
      </c>
      <c r="D11" s="28" t="s">
        <v>31</v>
      </c>
      <c r="E11" s="28" t="s">
        <v>16</v>
      </c>
      <c r="F11" s="28" t="s">
        <v>17</v>
      </c>
      <c r="G11" s="33">
        <v>19144</v>
      </c>
      <c r="H11" s="35">
        <v>1182</v>
      </c>
      <c r="I11" s="35">
        <v>860</v>
      </c>
      <c r="J11" s="35">
        <v>1398</v>
      </c>
      <c r="K11" s="38">
        <v>4185</v>
      </c>
      <c r="L11" s="33">
        <v>46570</v>
      </c>
      <c r="M11" s="25" t="s">
        <v>18</v>
      </c>
      <c r="N11" s="22">
        <f t="shared" si="0"/>
        <v>0.454928065278076</v>
      </c>
      <c r="P11" s="13" t="s">
        <v>40</v>
      </c>
      <c r="Q11" s="17">
        <v>1463.2941176470588</v>
      </c>
    </row>
    <row r="12" spans="1:24" ht="15" thickBot="1" x14ac:dyDescent="0.35">
      <c r="A12" s="25" t="s">
        <v>171</v>
      </c>
      <c r="B12" s="28" t="s">
        <v>47</v>
      </c>
      <c r="C12" s="31">
        <v>45684</v>
      </c>
      <c r="D12" s="28" t="s">
        <v>15</v>
      </c>
      <c r="E12" s="28" t="s">
        <v>32</v>
      </c>
      <c r="F12" s="28" t="s">
        <v>57</v>
      </c>
      <c r="G12" s="33">
        <v>24415</v>
      </c>
      <c r="H12" s="35">
        <v>860</v>
      </c>
      <c r="I12" s="35">
        <v>931</v>
      </c>
      <c r="J12" s="35">
        <v>320</v>
      </c>
      <c r="K12" s="38">
        <v>65049</v>
      </c>
      <c r="L12" s="33">
        <v>62911</v>
      </c>
      <c r="M12" s="25" t="s">
        <v>18</v>
      </c>
      <c r="N12" s="22">
        <f t="shared" si="0"/>
        <v>0.41655672298962027</v>
      </c>
      <c r="P12" s="13" t="s">
        <v>43</v>
      </c>
      <c r="Q12" s="17">
        <v>1711.5135135135135</v>
      </c>
    </row>
    <row r="13" spans="1:24" ht="15" thickBot="1" x14ac:dyDescent="0.35">
      <c r="A13" s="25" t="s">
        <v>51</v>
      </c>
      <c r="B13" s="28" t="s">
        <v>14</v>
      </c>
      <c r="C13" s="31">
        <v>45614</v>
      </c>
      <c r="D13" s="28" t="s">
        <v>39</v>
      </c>
      <c r="E13" s="28" t="s">
        <v>40</v>
      </c>
      <c r="F13" s="28" t="s">
        <v>41</v>
      </c>
      <c r="G13" s="33">
        <v>21255</v>
      </c>
      <c r="H13" s="35">
        <v>1452</v>
      </c>
      <c r="I13" s="35">
        <v>625</v>
      </c>
      <c r="J13" s="35">
        <v>1624</v>
      </c>
      <c r="K13" s="38">
        <v>21282</v>
      </c>
      <c r="L13" s="33">
        <v>57778</v>
      </c>
      <c r="M13" s="25" t="s">
        <v>52</v>
      </c>
      <c r="N13" s="22">
        <f t="shared" si="0"/>
        <v>0.40382152376337016</v>
      </c>
      <c r="P13" s="13" t="s">
        <v>16</v>
      </c>
      <c r="Q13" s="17">
        <v>1674.96</v>
      </c>
    </row>
    <row r="14" spans="1:24" ht="15" thickBot="1" x14ac:dyDescent="0.35">
      <c r="A14" s="25" t="s">
        <v>167</v>
      </c>
      <c r="B14" s="28" t="s">
        <v>47</v>
      </c>
      <c r="C14" s="31">
        <v>45457</v>
      </c>
      <c r="D14" s="28" t="s">
        <v>31</v>
      </c>
      <c r="E14" s="28" t="s">
        <v>32</v>
      </c>
      <c r="F14" s="28" t="s">
        <v>57</v>
      </c>
      <c r="G14" s="33">
        <v>17183</v>
      </c>
      <c r="H14" s="35">
        <v>1224</v>
      </c>
      <c r="I14" s="35">
        <v>943</v>
      </c>
      <c r="J14" s="35">
        <v>2010</v>
      </c>
      <c r="K14" s="38">
        <v>21481</v>
      </c>
      <c r="L14" s="33">
        <v>49110</v>
      </c>
      <c r="M14" s="25" t="s">
        <v>29</v>
      </c>
      <c r="N14" s="22">
        <f t="shared" si="0"/>
        <v>0.39401343921808185</v>
      </c>
      <c r="P14" s="13" t="s">
        <v>48</v>
      </c>
      <c r="Q14" s="17">
        <v>1811.3103448275863</v>
      </c>
    </row>
    <row r="15" spans="1:24" ht="15" thickBot="1" x14ac:dyDescent="0.35">
      <c r="A15" s="25" t="s">
        <v>331</v>
      </c>
      <c r="B15" s="28" t="s">
        <v>25</v>
      </c>
      <c r="C15" s="31">
        <v>45519</v>
      </c>
      <c r="D15" s="28" t="s">
        <v>31</v>
      </c>
      <c r="E15" s="28" t="s">
        <v>32</v>
      </c>
      <c r="F15" s="28" t="s">
        <v>33</v>
      </c>
      <c r="G15" s="33">
        <v>14977</v>
      </c>
      <c r="H15" s="35">
        <v>274</v>
      </c>
      <c r="I15" s="35">
        <v>798</v>
      </c>
      <c r="J15" s="35">
        <v>458</v>
      </c>
      <c r="K15" s="38">
        <v>6636</v>
      </c>
      <c r="L15" s="33">
        <v>43654</v>
      </c>
      <c r="M15" s="25" t="s">
        <v>18</v>
      </c>
      <c r="N15" s="22">
        <f t="shared" si="0"/>
        <v>0.36764099509781462</v>
      </c>
      <c r="P15" s="13" t="s">
        <v>62</v>
      </c>
      <c r="Q15" s="17">
        <v>1706.76</v>
      </c>
    </row>
    <row r="16" spans="1:24" ht="15" thickBot="1" x14ac:dyDescent="0.35">
      <c r="A16" s="25" t="s">
        <v>270</v>
      </c>
      <c r="B16" s="28" t="s">
        <v>47</v>
      </c>
      <c r="C16" s="31">
        <v>45908</v>
      </c>
      <c r="D16" s="28" t="s">
        <v>26</v>
      </c>
      <c r="E16" s="28" t="s">
        <v>43</v>
      </c>
      <c r="F16" s="28" t="s">
        <v>44</v>
      </c>
      <c r="G16" s="33">
        <v>23785</v>
      </c>
      <c r="H16" s="35">
        <v>1013</v>
      </c>
      <c r="I16" s="35">
        <v>468</v>
      </c>
      <c r="J16" s="35">
        <v>1628</v>
      </c>
      <c r="K16" s="38">
        <v>8272</v>
      </c>
      <c r="L16" s="33">
        <v>71348</v>
      </c>
      <c r="M16" s="25" t="s">
        <v>23</v>
      </c>
      <c r="N16" s="22">
        <f t="shared" si="0"/>
        <v>0.35412345125301342</v>
      </c>
      <c r="P16" s="13" t="s">
        <v>21</v>
      </c>
      <c r="Q16" s="17">
        <v>1680.3571428571429</v>
      </c>
    </row>
    <row r="17" spans="1:17" ht="15" thickBot="1" x14ac:dyDescent="0.35">
      <c r="A17" s="25" t="s">
        <v>275</v>
      </c>
      <c r="B17" s="28" t="s">
        <v>47</v>
      </c>
      <c r="C17" s="31">
        <v>45909</v>
      </c>
      <c r="D17" s="28" t="s">
        <v>15</v>
      </c>
      <c r="E17" s="28" t="s">
        <v>40</v>
      </c>
      <c r="F17" s="28" t="s">
        <v>41</v>
      </c>
      <c r="G17" s="33">
        <v>19260</v>
      </c>
      <c r="H17" s="35">
        <v>668</v>
      </c>
      <c r="I17" s="35">
        <v>994</v>
      </c>
      <c r="J17" s="35">
        <v>934</v>
      </c>
      <c r="K17" s="38">
        <v>20509</v>
      </c>
      <c r="L17" s="33">
        <v>61636</v>
      </c>
      <c r="M17" s="25" t="s">
        <v>23</v>
      </c>
      <c r="N17" s="22">
        <f t="shared" si="0"/>
        <v>0.33944448049841003</v>
      </c>
      <c r="P17" s="13" t="s">
        <v>71</v>
      </c>
      <c r="Q17" s="17">
        <v>1289.4117647058824</v>
      </c>
    </row>
    <row r="18" spans="1:17" ht="15" thickBot="1" x14ac:dyDescent="0.35">
      <c r="A18" s="26" t="s">
        <v>229</v>
      </c>
      <c r="B18" s="29" t="s">
        <v>25</v>
      </c>
      <c r="C18" s="32">
        <v>45668</v>
      </c>
      <c r="D18" s="29" t="s">
        <v>15</v>
      </c>
      <c r="E18" s="29" t="s">
        <v>21</v>
      </c>
      <c r="F18" s="29" t="s">
        <v>22</v>
      </c>
      <c r="G18" s="34">
        <v>21181</v>
      </c>
      <c r="H18" s="36">
        <v>1242</v>
      </c>
      <c r="I18" s="36">
        <v>963</v>
      </c>
      <c r="J18" s="36">
        <v>1689</v>
      </c>
      <c r="K18" s="39">
        <v>49329</v>
      </c>
      <c r="L18" s="34">
        <v>69165</v>
      </c>
      <c r="M18" s="26" t="s">
        <v>18</v>
      </c>
      <c r="N18" s="23">
        <f t="shared" si="0"/>
        <v>0.33811899081905589</v>
      </c>
      <c r="P18" s="13" t="s">
        <v>37</v>
      </c>
      <c r="Q18" s="17">
        <v>1592.9375</v>
      </c>
    </row>
    <row r="19" spans="1:17" x14ac:dyDescent="0.3">
      <c r="P19" s="13" t="s">
        <v>122</v>
      </c>
      <c r="Q19" s="17">
        <v>1459.3076923076924</v>
      </c>
    </row>
    <row r="20" spans="1:17" x14ac:dyDescent="0.3">
      <c r="P20" s="13" t="s">
        <v>347</v>
      </c>
      <c r="Q20" s="17">
        <v>1606.6833333333334</v>
      </c>
    </row>
    <row r="21" spans="1:17" ht="14.4" customHeight="1" x14ac:dyDescent="0.3">
      <c r="A21" s="90" t="s">
        <v>349</v>
      </c>
      <c r="B21" s="91"/>
      <c r="E21" s="101" t="s">
        <v>354</v>
      </c>
      <c r="F21" s="101"/>
      <c r="G21" s="101"/>
      <c r="H21" s="101"/>
      <c r="I21" s="101"/>
      <c r="K21" s="98" t="s">
        <v>356</v>
      </c>
      <c r="L21" s="99"/>
      <c r="P21" s="92" t="s">
        <v>358</v>
      </c>
      <c r="Q21" s="93"/>
    </row>
    <row r="22" spans="1:17" ht="15" thickBot="1" x14ac:dyDescent="0.35">
      <c r="A22" s="91"/>
      <c r="B22" s="91"/>
      <c r="E22" s="101"/>
      <c r="F22" s="101"/>
      <c r="G22" s="101"/>
      <c r="H22" s="101"/>
      <c r="I22" s="101"/>
      <c r="K22" s="100"/>
      <c r="L22" s="100"/>
      <c r="P22" s="12" t="s">
        <v>346</v>
      </c>
      <c r="Q22" t="s">
        <v>355</v>
      </c>
    </row>
    <row r="23" spans="1:17" ht="15" thickBot="1" x14ac:dyDescent="0.35">
      <c r="A23" s="12" t="s">
        <v>346</v>
      </c>
      <c r="B23" t="s">
        <v>348</v>
      </c>
      <c r="E23" s="12" t="s">
        <v>346</v>
      </c>
      <c r="F23" t="s">
        <v>351</v>
      </c>
      <c r="G23" t="s">
        <v>352</v>
      </c>
      <c r="H23" t="s">
        <v>353</v>
      </c>
      <c r="I23" t="s">
        <v>392</v>
      </c>
      <c r="K23" s="55" t="s">
        <v>346</v>
      </c>
      <c r="L23" s="60" t="s">
        <v>362</v>
      </c>
      <c r="P23" s="13" t="s">
        <v>123</v>
      </c>
      <c r="Q23" s="17">
        <v>1459.3076923076924</v>
      </c>
    </row>
    <row r="24" spans="1:17" x14ac:dyDescent="0.3">
      <c r="A24" s="13" t="s">
        <v>25</v>
      </c>
      <c r="B24" s="11">
        <v>0.11777135601638941</v>
      </c>
      <c r="E24" s="13" t="s">
        <v>39</v>
      </c>
      <c r="F24" s="17">
        <v>1199672</v>
      </c>
      <c r="G24" s="17">
        <v>81330</v>
      </c>
      <c r="H24" s="17">
        <v>54382</v>
      </c>
      <c r="I24">
        <v>92</v>
      </c>
      <c r="K24" s="56" t="s">
        <v>27</v>
      </c>
      <c r="L24" s="52">
        <v>1592.72</v>
      </c>
      <c r="P24" s="13" t="s">
        <v>32</v>
      </c>
      <c r="Q24" s="17">
        <v>1811.3103448275863</v>
      </c>
    </row>
    <row r="25" spans="1:17" x14ac:dyDescent="0.3">
      <c r="A25" s="13" t="s">
        <v>20</v>
      </c>
      <c r="B25" s="11">
        <v>0.12413746843755116</v>
      </c>
      <c r="E25" s="16" t="s">
        <v>25</v>
      </c>
      <c r="F25" s="17">
        <v>278757</v>
      </c>
      <c r="G25" s="17">
        <v>16508</v>
      </c>
      <c r="H25" s="17">
        <v>13676</v>
      </c>
      <c r="I25">
        <v>22</v>
      </c>
      <c r="K25" s="57" t="s">
        <v>122</v>
      </c>
      <c r="L25" s="53">
        <v>1459.3076923076924</v>
      </c>
      <c r="P25" s="13" t="s">
        <v>22</v>
      </c>
      <c r="Q25" s="17">
        <v>1680.3571428571429</v>
      </c>
    </row>
    <row r="26" spans="1:17" x14ac:dyDescent="0.3">
      <c r="A26" s="13" t="s">
        <v>47</v>
      </c>
      <c r="B26" s="11">
        <v>0.13887772583296515</v>
      </c>
      <c r="E26" s="16" t="s">
        <v>20</v>
      </c>
      <c r="F26" s="17">
        <v>246297</v>
      </c>
      <c r="G26" s="17">
        <v>18856</v>
      </c>
      <c r="H26" s="17">
        <v>12611</v>
      </c>
      <c r="I26">
        <v>20</v>
      </c>
      <c r="K26" s="57" t="s">
        <v>32</v>
      </c>
      <c r="L26" s="53">
        <v>1541.3725490196077</v>
      </c>
      <c r="P26" s="13" t="s">
        <v>41</v>
      </c>
      <c r="Q26" s="17">
        <v>1463.2941176470588</v>
      </c>
    </row>
    <row r="27" spans="1:17" x14ac:dyDescent="0.3">
      <c r="A27" s="13" t="s">
        <v>14</v>
      </c>
      <c r="B27" s="11">
        <v>0.11218828039990528</v>
      </c>
      <c r="E27" s="16" t="s">
        <v>47</v>
      </c>
      <c r="F27" s="17">
        <v>394886</v>
      </c>
      <c r="G27" s="17">
        <v>21298</v>
      </c>
      <c r="H27" s="17">
        <v>14381</v>
      </c>
      <c r="I27">
        <v>26</v>
      </c>
      <c r="K27" s="57" t="s">
        <v>41</v>
      </c>
      <c r="L27" s="53">
        <v>1519</v>
      </c>
      <c r="P27" s="13" t="s">
        <v>44</v>
      </c>
      <c r="Q27" s="17">
        <v>1711.5135135135135</v>
      </c>
    </row>
    <row r="28" spans="1:17" x14ac:dyDescent="0.3">
      <c r="A28" s="13" t="s">
        <v>347</v>
      </c>
      <c r="B28" s="11">
        <v>0.12284132745362925</v>
      </c>
      <c r="E28" s="16" t="s">
        <v>14</v>
      </c>
      <c r="F28" s="17">
        <v>279732</v>
      </c>
      <c r="G28" s="17">
        <v>24668</v>
      </c>
      <c r="H28" s="17">
        <v>13714</v>
      </c>
      <c r="I28">
        <v>24</v>
      </c>
      <c r="K28" s="57" t="s">
        <v>40</v>
      </c>
      <c r="L28" s="53">
        <v>1463.2941176470588</v>
      </c>
      <c r="P28" s="13" t="s">
        <v>17</v>
      </c>
      <c r="Q28" s="17">
        <v>1674.96</v>
      </c>
    </row>
    <row r="29" spans="1:17" x14ac:dyDescent="0.3">
      <c r="E29" s="13" t="s">
        <v>15</v>
      </c>
      <c r="F29" s="17">
        <v>891508</v>
      </c>
      <c r="G29" s="17">
        <v>57094</v>
      </c>
      <c r="H29" s="17">
        <v>39063</v>
      </c>
      <c r="I29">
        <v>68</v>
      </c>
      <c r="K29" s="57" t="s">
        <v>43</v>
      </c>
      <c r="L29" s="53">
        <v>1711.5135135135135</v>
      </c>
      <c r="P29" s="13" t="s">
        <v>28</v>
      </c>
      <c r="Q29" s="17">
        <v>1592.72</v>
      </c>
    </row>
    <row r="30" spans="1:17" x14ac:dyDescent="0.3">
      <c r="E30" s="16" t="s">
        <v>25</v>
      </c>
      <c r="F30" s="17">
        <v>218031</v>
      </c>
      <c r="G30" s="17">
        <v>18753</v>
      </c>
      <c r="H30" s="17">
        <v>10389</v>
      </c>
      <c r="I30">
        <v>20</v>
      </c>
      <c r="K30" s="57" t="s">
        <v>16</v>
      </c>
      <c r="L30" s="53">
        <v>1674.96</v>
      </c>
      <c r="P30" s="13" t="s">
        <v>33</v>
      </c>
      <c r="Q30" s="17">
        <v>1477.2631578947369</v>
      </c>
    </row>
    <row r="31" spans="1:17" x14ac:dyDescent="0.3">
      <c r="A31" s="158" t="s">
        <v>390</v>
      </c>
      <c r="B31" s="159"/>
      <c r="C31" s="159"/>
      <c r="E31" s="16" t="s">
        <v>20</v>
      </c>
      <c r="F31" s="17">
        <v>329722</v>
      </c>
      <c r="G31" s="17">
        <v>19905</v>
      </c>
      <c r="H31" s="17">
        <v>14305</v>
      </c>
      <c r="I31">
        <v>24</v>
      </c>
      <c r="K31" s="57" t="s">
        <v>48</v>
      </c>
      <c r="L31" s="53">
        <v>1811.3103448275863</v>
      </c>
      <c r="P31" s="13" t="s">
        <v>57</v>
      </c>
      <c r="Q31" s="17">
        <v>1579.4375</v>
      </c>
    </row>
    <row r="32" spans="1:17" ht="15" thickBot="1" x14ac:dyDescent="0.35">
      <c r="A32" s="160"/>
      <c r="B32" s="160"/>
      <c r="C32" s="160"/>
      <c r="E32" s="16" t="s">
        <v>47</v>
      </c>
      <c r="F32" s="17">
        <v>148676</v>
      </c>
      <c r="G32" s="17">
        <v>7832</v>
      </c>
      <c r="H32" s="17">
        <v>6092</v>
      </c>
      <c r="I32">
        <v>9</v>
      </c>
      <c r="K32" s="57" t="s">
        <v>62</v>
      </c>
      <c r="L32" s="53">
        <v>1706.76</v>
      </c>
      <c r="P32" s="13" t="s">
        <v>37</v>
      </c>
      <c r="Q32" s="17">
        <v>1706.76</v>
      </c>
    </row>
    <row r="33" spans="1:17" x14ac:dyDescent="0.3">
      <c r="A33" s="97" t="s">
        <v>364</v>
      </c>
      <c r="B33" s="161"/>
      <c r="C33" s="162"/>
      <c r="E33" s="16" t="s">
        <v>14</v>
      </c>
      <c r="F33" s="17">
        <v>195079</v>
      </c>
      <c r="G33" s="17">
        <v>10604</v>
      </c>
      <c r="H33" s="17">
        <v>8277</v>
      </c>
      <c r="I33">
        <v>15</v>
      </c>
      <c r="K33" s="57" t="s">
        <v>21</v>
      </c>
      <c r="L33" s="53">
        <v>1680.3571428571429</v>
      </c>
      <c r="P33" s="13" t="s">
        <v>347</v>
      </c>
      <c r="Q33" s="17">
        <v>1627.7078651685392</v>
      </c>
    </row>
    <row r="34" spans="1:17" ht="15" thickBot="1" x14ac:dyDescent="0.35">
      <c r="A34" s="163"/>
      <c r="B34" s="164"/>
      <c r="C34" s="165"/>
      <c r="E34" s="13" t="s">
        <v>26</v>
      </c>
      <c r="F34" s="17">
        <v>922075</v>
      </c>
      <c r="G34" s="17">
        <v>62711</v>
      </c>
      <c r="H34" s="17">
        <v>37570</v>
      </c>
      <c r="I34">
        <v>69</v>
      </c>
      <c r="K34" s="57" t="s">
        <v>71</v>
      </c>
      <c r="L34" s="53">
        <v>1289.4117647058824</v>
      </c>
    </row>
    <row r="35" spans="1:17" ht="15" thickBot="1" x14ac:dyDescent="0.35">
      <c r="A35" s="55" t="s">
        <v>346</v>
      </c>
      <c r="B35" s="60" t="s">
        <v>362</v>
      </c>
      <c r="C35" s="48" t="s">
        <v>363</v>
      </c>
      <c r="E35" s="16" t="s">
        <v>25</v>
      </c>
      <c r="F35" s="17">
        <v>206053</v>
      </c>
      <c r="G35" s="17">
        <v>14750</v>
      </c>
      <c r="H35" s="17">
        <v>9295</v>
      </c>
      <c r="I35">
        <v>15</v>
      </c>
      <c r="K35" s="58" t="s">
        <v>37</v>
      </c>
      <c r="L35" s="53">
        <v>1592.9375</v>
      </c>
    </row>
    <row r="36" spans="1:17" ht="15" thickBot="1" x14ac:dyDescent="0.35">
      <c r="A36" s="56" t="s">
        <v>27</v>
      </c>
      <c r="B36" s="52">
        <v>1592.72</v>
      </c>
      <c r="C36" s="49">
        <v>6</v>
      </c>
      <c r="E36" s="16" t="s">
        <v>20</v>
      </c>
      <c r="F36" s="17">
        <v>279588</v>
      </c>
      <c r="G36" s="17">
        <v>17963</v>
      </c>
      <c r="H36" s="17">
        <v>11014</v>
      </c>
      <c r="I36">
        <v>19</v>
      </c>
      <c r="K36" s="59" t="s">
        <v>347</v>
      </c>
      <c r="L36" s="54">
        <v>1606.392026578073</v>
      </c>
    </row>
    <row r="37" spans="1:17" x14ac:dyDescent="0.3">
      <c r="A37" s="57" t="s">
        <v>122</v>
      </c>
      <c r="B37" s="53">
        <v>1459.3076923076924</v>
      </c>
      <c r="C37" s="49">
        <v>10</v>
      </c>
      <c r="E37" s="16" t="s">
        <v>47</v>
      </c>
      <c r="F37" s="17">
        <v>249305</v>
      </c>
      <c r="G37" s="17">
        <v>15862</v>
      </c>
      <c r="H37" s="17">
        <v>9160</v>
      </c>
      <c r="I37">
        <v>18</v>
      </c>
    </row>
    <row r="38" spans="1:17" x14ac:dyDescent="0.3">
      <c r="A38" s="57" t="s">
        <v>32</v>
      </c>
      <c r="B38" s="53">
        <v>1541.3725490196077</v>
      </c>
      <c r="C38" s="49">
        <v>7</v>
      </c>
      <c r="E38" s="16" t="s">
        <v>14</v>
      </c>
      <c r="F38" s="17">
        <v>187129</v>
      </c>
      <c r="G38" s="17">
        <v>14136</v>
      </c>
      <c r="H38" s="17">
        <v>8101</v>
      </c>
      <c r="I38">
        <v>17</v>
      </c>
    </row>
    <row r="39" spans="1:17" x14ac:dyDescent="0.3">
      <c r="A39" s="57" t="s">
        <v>41</v>
      </c>
      <c r="B39" s="53">
        <v>1519</v>
      </c>
      <c r="C39" s="50">
        <v>8</v>
      </c>
      <c r="E39" s="13" t="s">
        <v>31</v>
      </c>
      <c r="F39" s="17">
        <v>1054188</v>
      </c>
      <c r="G39" s="17">
        <v>60151</v>
      </c>
      <c r="H39" s="17">
        <v>41373</v>
      </c>
      <c r="I39">
        <v>71</v>
      </c>
      <c r="K39" s="64"/>
      <c r="L39" s="64"/>
      <c r="M39" s="64"/>
      <c r="N39" s="64"/>
      <c r="O39" s="64"/>
      <c r="P39" s="64"/>
      <c r="Q39" s="64"/>
    </row>
    <row r="40" spans="1:17" ht="15" thickBot="1" x14ac:dyDescent="0.35">
      <c r="A40" s="57" t="s">
        <v>40</v>
      </c>
      <c r="B40" s="53">
        <v>1463.2941176470588</v>
      </c>
      <c r="C40" s="51">
        <v>9</v>
      </c>
      <c r="E40" s="16" t="s">
        <v>25</v>
      </c>
      <c r="F40" s="17">
        <v>244355</v>
      </c>
      <c r="G40" s="17">
        <v>13194</v>
      </c>
      <c r="H40" s="17">
        <v>7426</v>
      </c>
      <c r="I40">
        <v>17</v>
      </c>
      <c r="K40" s="64"/>
      <c r="L40" s="64"/>
      <c r="M40" s="64"/>
      <c r="N40" s="64"/>
      <c r="O40" s="64"/>
      <c r="P40" s="64"/>
      <c r="Q40" s="64"/>
    </row>
    <row r="41" spans="1:17" ht="14.4" customHeight="1" thickBot="1" x14ac:dyDescent="0.35">
      <c r="A41" s="57" t="s">
        <v>43</v>
      </c>
      <c r="B41" s="53">
        <v>1711.5135135135135</v>
      </c>
      <c r="C41" s="51">
        <v>2</v>
      </c>
      <c r="E41" s="16" t="s">
        <v>20</v>
      </c>
      <c r="F41" s="17">
        <v>278759</v>
      </c>
      <c r="G41" s="17">
        <v>14236</v>
      </c>
      <c r="H41" s="17">
        <v>11770</v>
      </c>
      <c r="I41">
        <v>18</v>
      </c>
      <c r="K41" s="94" t="s">
        <v>385</v>
      </c>
      <c r="L41" s="95"/>
      <c r="M41" s="95"/>
      <c r="N41" s="95"/>
      <c r="O41" s="95"/>
      <c r="P41" s="95"/>
      <c r="Q41" s="96"/>
    </row>
    <row r="42" spans="1:17" ht="14.4" customHeight="1" thickBot="1" x14ac:dyDescent="0.35">
      <c r="A42" s="57" t="s">
        <v>16</v>
      </c>
      <c r="B42" s="53">
        <v>1674.96</v>
      </c>
      <c r="C42" s="51">
        <v>5</v>
      </c>
      <c r="E42" s="16" t="s">
        <v>47</v>
      </c>
      <c r="F42" s="17">
        <v>244756</v>
      </c>
      <c r="G42" s="17">
        <v>14669</v>
      </c>
      <c r="H42" s="17">
        <v>9640</v>
      </c>
      <c r="I42">
        <v>15</v>
      </c>
      <c r="K42" s="77"/>
      <c r="L42" s="78"/>
      <c r="M42" s="78"/>
      <c r="N42" s="78"/>
      <c r="O42" s="78"/>
      <c r="P42" s="78"/>
      <c r="Q42" s="79"/>
    </row>
    <row r="43" spans="1:17" ht="15" thickBot="1" x14ac:dyDescent="0.35">
      <c r="A43" s="57" t="s">
        <v>48</v>
      </c>
      <c r="B43" s="53">
        <v>1811.3103448275863</v>
      </c>
      <c r="C43" s="51">
        <v>1</v>
      </c>
      <c r="E43" s="16" t="s">
        <v>14</v>
      </c>
      <c r="F43" s="17">
        <v>286318</v>
      </c>
      <c r="G43" s="17">
        <v>18052</v>
      </c>
      <c r="H43" s="17">
        <v>12537</v>
      </c>
      <c r="I43">
        <v>21</v>
      </c>
      <c r="K43" s="77"/>
      <c r="L43" s="78"/>
      <c r="M43" s="78"/>
      <c r="N43" s="78"/>
      <c r="O43" s="78"/>
      <c r="P43" s="78"/>
      <c r="Q43" s="79"/>
    </row>
    <row r="44" spans="1:17" ht="15" thickBot="1" x14ac:dyDescent="0.35">
      <c r="A44" s="57" t="s">
        <v>62</v>
      </c>
      <c r="B44" s="53">
        <v>1706.76</v>
      </c>
      <c r="C44" s="51">
        <v>3</v>
      </c>
      <c r="E44" s="13" t="s">
        <v>347</v>
      </c>
      <c r="F44" s="17">
        <v>4067443</v>
      </c>
      <c r="G44" s="17">
        <v>261286</v>
      </c>
      <c r="H44" s="17">
        <v>172388</v>
      </c>
      <c r="I44">
        <v>300</v>
      </c>
      <c r="K44" s="74" t="s">
        <v>386</v>
      </c>
      <c r="L44" s="75"/>
      <c r="M44" s="75"/>
      <c r="N44" s="75"/>
      <c r="O44" s="75"/>
      <c r="P44" s="75"/>
      <c r="Q44" s="76"/>
    </row>
    <row r="45" spans="1:17" ht="15" thickBot="1" x14ac:dyDescent="0.35">
      <c r="A45" s="57" t="s">
        <v>21</v>
      </c>
      <c r="B45" s="53">
        <v>1680.3571428571429</v>
      </c>
      <c r="C45" s="51">
        <v>4</v>
      </c>
      <c r="K45" s="74"/>
      <c r="L45" s="75"/>
      <c r="M45" s="75"/>
      <c r="N45" s="75"/>
      <c r="O45" s="75"/>
      <c r="P45" s="75"/>
      <c r="Q45" s="76"/>
    </row>
    <row r="46" spans="1:17" ht="15" thickBot="1" x14ac:dyDescent="0.35">
      <c r="A46" s="57" t="s">
        <v>71</v>
      </c>
      <c r="B46" s="53">
        <v>1289.4117647058824</v>
      </c>
      <c r="C46" s="51">
        <v>11</v>
      </c>
      <c r="K46" s="74"/>
      <c r="L46" s="75"/>
      <c r="M46" s="75"/>
      <c r="N46" s="75"/>
      <c r="O46" s="75"/>
      <c r="P46" s="75"/>
      <c r="Q46" s="76"/>
    </row>
    <row r="47" spans="1:17" ht="14.4" customHeight="1" thickBot="1" x14ac:dyDescent="0.35">
      <c r="A47" s="58" t="s">
        <v>37</v>
      </c>
      <c r="B47" s="53">
        <v>1592.9375</v>
      </c>
      <c r="C47" s="51">
        <v>6</v>
      </c>
      <c r="K47" s="77" t="s">
        <v>387</v>
      </c>
      <c r="L47" s="78"/>
      <c r="M47" s="78"/>
      <c r="N47" s="78"/>
      <c r="O47" s="78"/>
      <c r="P47" s="78"/>
      <c r="Q47" s="79"/>
    </row>
    <row r="48" spans="1:17" ht="15" thickBot="1" x14ac:dyDescent="0.35">
      <c r="A48" s="59" t="s">
        <v>347</v>
      </c>
      <c r="B48" s="54">
        <v>1606.392026578073</v>
      </c>
      <c r="C48" s="51"/>
      <c r="K48" s="77"/>
      <c r="L48" s="78"/>
      <c r="M48" s="78"/>
      <c r="N48" s="78"/>
      <c r="O48" s="78"/>
      <c r="P48" s="78"/>
      <c r="Q48" s="79"/>
    </row>
    <row r="49" spans="11:17" ht="15" thickBot="1" x14ac:dyDescent="0.35">
      <c r="K49" s="80"/>
      <c r="L49" s="81"/>
      <c r="M49" s="81"/>
      <c r="N49" s="81"/>
      <c r="O49" s="81"/>
      <c r="P49" s="81"/>
      <c r="Q49" s="82"/>
    </row>
    <row r="50" spans="11:17" x14ac:dyDescent="0.3">
      <c r="K50" s="65" t="s">
        <v>388</v>
      </c>
      <c r="L50" s="66"/>
      <c r="M50" s="66"/>
      <c r="N50" s="66"/>
      <c r="O50" s="66"/>
      <c r="P50" s="66"/>
      <c r="Q50" s="67"/>
    </row>
    <row r="51" spans="11:17" x14ac:dyDescent="0.3">
      <c r="K51" s="68"/>
      <c r="L51" s="69"/>
      <c r="M51" s="69"/>
      <c r="N51" s="69"/>
      <c r="O51" s="69"/>
      <c r="P51" s="69"/>
      <c r="Q51" s="70"/>
    </row>
    <row r="52" spans="11:17" ht="15" thickBot="1" x14ac:dyDescent="0.35">
      <c r="K52" s="71"/>
      <c r="L52" s="72"/>
      <c r="M52" s="72"/>
      <c r="N52" s="72"/>
      <c r="O52" s="72"/>
      <c r="P52" s="72"/>
      <c r="Q52" s="73"/>
    </row>
    <row r="54" spans="11:17" x14ac:dyDescent="0.3">
      <c r="N54" s="61"/>
    </row>
  </sheetData>
  <mergeCells count="14">
    <mergeCell ref="K50:Q52"/>
    <mergeCell ref="K44:Q46"/>
    <mergeCell ref="K47:Q49"/>
    <mergeCell ref="A1:X3"/>
    <mergeCell ref="A6:N7"/>
    <mergeCell ref="A21:B22"/>
    <mergeCell ref="P6:Q6"/>
    <mergeCell ref="P7:Q7"/>
    <mergeCell ref="P21:Q21"/>
    <mergeCell ref="K41:Q43"/>
    <mergeCell ref="A31:C32"/>
    <mergeCell ref="K21:L22"/>
    <mergeCell ref="E21:I22"/>
    <mergeCell ref="A33:C34"/>
  </mergeCells>
  <conditionalFormatting sqref="L23">
    <cfRule type="colorScale" priority="6">
      <colorScale>
        <cfvo type="min"/>
        <cfvo type="percentile" val="50"/>
        <cfvo type="max"/>
        <color rgb="FFF8696B"/>
        <color rgb="FFFFEB84"/>
        <color rgb="FF63BE7B"/>
      </colorScale>
    </cfRule>
    <cfRule type="colorScale" priority="9">
      <colorScale>
        <cfvo type="min"/>
        <cfvo type="percentile" val="50"/>
        <cfvo type="max"/>
        <color rgb="FFF8696B"/>
        <color rgb="FFFFEB84"/>
        <color rgb="FF63BE7B"/>
      </colorScale>
    </cfRule>
  </conditionalFormatting>
  <conditionalFormatting sqref="B35">
    <cfRule type="colorScale" priority="3">
      <colorScale>
        <cfvo type="min"/>
        <cfvo type="percentile" val="50"/>
        <cfvo type="max"/>
        <color rgb="FFF8696B"/>
        <color rgb="FFFFEB84"/>
        <color rgb="FF63BE7B"/>
      </colorScale>
    </cfRule>
    <cfRule type="colorScale" priority="4">
      <colorScale>
        <cfvo type="min"/>
        <cfvo type="percentile" val="50"/>
        <cfvo type="max"/>
        <color rgb="FFF8696B"/>
        <color rgb="FFFFEB84"/>
        <color rgb="FF63BE7B"/>
      </colorScale>
    </cfRule>
  </conditionalFormatting>
  <conditionalFormatting sqref="B35">
    <cfRule type="colorScale" priority="2">
      <colorScale>
        <cfvo type="min"/>
        <cfvo type="percentile" val="50"/>
        <cfvo type="max"/>
        <color rgb="FFF8696B"/>
        <color rgb="FFFFEB84"/>
        <color rgb="FF63BE7B"/>
      </colorScale>
    </cfRule>
  </conditionalFormatting>
  <conditionalFormatting pivot="1" sqref="B36:B47">
    <cfRule type="top10" dxfId="6" priority="1" rank="3"/>
  </conditionalFormatting>
  <pageMargins left="0.7" right="0.7" top="0.75" bottom="0.75" header="0.3" footer="0.3"/>
  <drawing r:id="rId7"/>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post datasets_2.1&amp;2.2</vt:lpstr>
      <vt:lpstr>PIVOT_TABLE_2.3</vt:lpstr>
      <vt:lpstr>HASHTAGS ANALYSIS_2.4</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Pukazharasi Kumar</dc:creator>
  <cp:lastModifiedBy>Pukazharasi Kumar</cp:lastModifiedBy>
  <dcterms:created xsi:type="dcterms:W3CDTF">2026-04-18T06:10:44Z</dcterms:created>
  <dcterms:modified xsi:type="dcterms:W3CDTF">2026-04-24T08:22:51Z</dcterms:modified>
</cp:coreProperties>
</file>