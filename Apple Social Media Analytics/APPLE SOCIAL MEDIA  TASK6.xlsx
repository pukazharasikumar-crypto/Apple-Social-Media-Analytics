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kazh\Downloads\Apple Social Media Analytics\"/>
    </mc:Choice>
  </mc:AlternateContent>
  <xr:revisionPtr revIDLastSave="0" documentId="13_ncr:1_{526F8751-AD1D-4BA0-A933-F771BA2522E5}" xr6:coauthVersionLast="47" xr6:coauthVersionMax="47" xr10:uidLastSave="{00000000-0000-0000-0000-000000000000}"/>
  <bookViews>
    <workbookView xWindow="-108" yWindow="-108" windowWidth="23256" windowHeight="12456" activeTab="4" xr2:uid="{C560B4C6-C550-4A7A-8B92-DEAE93BC380F}"/>
  </bookViews>
  <sheets>
    <sheet name="TASK_6.1" sheetId="4" r:id="rId1"/>
    <sheet name="Task_6.2" sheetId="3" r:id="rId2"/>
    <sheet name="TASK_6.3" sheetId="5" r:id="rId3"/>
    <sheet name="ENGAGEMENT SUMMARY" sheetId="1" r:id="rId4"/>
    <sheet name="DASHBOARD" sheetId="7" r:id="rId5"/>
  </sheets>
  <calcPr calcId="191029"/>
  <pivotCaches>
    <pivotCache cacheId="10" r:id="rId6"/>
    <pivotCache cacheId="1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I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K13" i="1"/>
  <c r="K14" i="1"/>
  <c r="K15" i="1"/>
  <c r="K16" i="1"/>
  <c r="K25" i="1"/>
  <c r="K26" i="1"/>
  <c r="K27" i="1"/>
  <c r="K28" i="1"/>
  <c r="K37" i="1"/>
  <c r="K38" i="1"/>
  <c r="K39" i="1"/>
  <c r="K40" i="1"/>
  <c r="K49" i="1"/>
  <c r="K50" i="1"/>
  <c r="K51" i="1"/>
  <c r="K52" i="1"/>
  <c r="K61" i="1"/>
  <c r="K62" i="1"/>
  <c r="K63" i="1"/>
  <c r="K64" i="1"/>
  <c r="K73" i="1"/>
  <c r="K74" i="1"/>
  <c r="K75" i="1"/>
  <c r="K76" i="1"/>
  <c r="K85" i="1"/>
  <c r="K86" i="1"/>
  <c r="K87" i="1"/>
  <c r="K88" i="1"/>
  <c r="K97" i="1"/>
  <c r="K98" i="1"/>
  <c r="K99" i="1"/>
  <c r="K100" i="1"/>
  <c r="K109" i="1"/>
  <c r="K110" i="1"/>
  <c r="K111" i="1"/>
  <c r="K112" i="1"/>
  <c r="K121" i="1"/>
  <c r="K122" i="1"/>
  <c r="K123" i="1"/>
  <c r="K124" i="1"/>
  <c r="K133" i="1"/>
  <c r="K134" i="1"/>
  <c r="K135" i="1"/>
  <c r="K136" i="1"/>
  <c r="K145" i="1"/>
  <c r="K146" i="1"/>
  <c r="K147" i="1"/>
  <c r="K148" i="1"/>
  <c r="K157" i="1"/>
  <c r="K158" i="1"/>
  <c r="K159" i="1"/>
  <c r="K160" i="1"/>
  <c r="K169" i="1"/>
  <c r="K170" i="1"/>
  <c r="K171" i="1"/>
  <c r="K172" i="1"/>
  <c r="K181" i="1"/>
  <c r="K182" i="1"/>
  <c r="K183" i="1"/>
  <c r="K184" i="1"/>
  <c r="K193" i="1"/>
  <c r="K194" i="1"/>
  <c r="K195" i="1"/>
  <c r="K196" i="1"/>
  <c r="K5" i="1"/>
  <c r="K4" i="1"/>
  <c r="K3" i="1"/>
  <c r="K2" i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J2" i="1"/>
  <c r="K192" i="1" l="1"/>
  <c r="K144" i="1"/>
  <c r="K96" i="1"/>
  <c r="K36" i="1"/>
  <c r="K179" i="1"/>
  <c r="K143" i="1"/>
  <c r="K107" i="1"/>
  <c r="K71" i="1"/>
  <c r="K11" i="1"/>
  <c r="K7" i="1"/>
  <c r="K166" i="1"/>
  <c r="K130" i="1"/>
  <c r="K94" i="1"/>
  <c r="K58" i="1"/>
  <c r="K34" i="1"/>
  <c r="K189" i="1"/>
  <c r="K165" i="1"/>
  <c r="K129" i="1"/>
  <c r="K105" i="1"/>
  <c r="K81" i="1"/>
  <c r="K57" i="1"/>
  <c r="K33" i="1"/>
  <c r="K21" i="1"/>
  <c r="K200" i="1"/>
  <c r="K188" i="1"/>
  <c r="K176" i="1"/>
  <c r="K164" i="1"/>
  <c r="K152" i="1"/>
  <c r="K140" i="1"/>
  <c r="K128" i="1"/>
  <c r="K116" i="1"/>
  <c r="K104" i="1"/>
  <c r="K92" i="1"/>
  <c r="K80" i="1"/>
  <c r="K68" i="1"/>
  <c r="K44" i="1"/>
  <c r="K32" i="1"/>
  <c r="K20" i="1"/>
  <c r="K8" i="1"/>
  <c r="K199" i="1"/>
  <c r="K187" i="1"/>
  <c r="K175" i="1"/>
  <c r="K163" i="1"/>
  <c r="K151" i="1"/>
  <c r="K139" i="1"/>
  <c r="K127" i="1"/>
  <c r="K115" i="1"/>
  <c r="K103" i="1"/>
  <c r="K91" i="1"/>
  <c r="K79" i="1"/>
  <c r="K67" i="1"/>
  <c r="K55" i="1"/>
  <c r="K43" i="1"/>
  <c r="K31" i="1"/>
  <c r="K19" i="1"/>
  <c r="K168" i="1"/>
  <c r="K132" i="1"/>
  <c r="K120" i="1"/>
  <c r="K84" i="1"/>
  <c r="K72" i="1"/>
  <c r="K60" i="1"/>
  <c r="K48" i="1"/>
  <c r="K12" i="1"/>
  <c r="K191" i="1"/>
  <c r="K155" i="1"/>
  <c r="K119" i="1"/>
  <c r="K83" i="1"/>
  <c r="K47" i="1"/>
  <c r="K35" i="1"/>
  <c r="K190" i="1"/>
  <c r="K154" i="1"/>
  <c r="K118" i="1"/>
  <c r="K82" i="1"/>
  <c r="K46" i="1"/>
  <c r="K10" i="1"/>
  <c r="K201" i="1"/>
  <c r="K177" i="1"/>
  <c r="K153" i="1"/>
  <c r="K141" i="1"/>
  <c r="K117" i="1"/>
  <c r="K93" i="1"/>
  <c r="K69" i="1"/>
  <c r="K9" i="1"/>
  <c r="K56" i="1"/>
  <c r="K198" i="1"/>
  <c r="K186" i="1"/>
  <c r="K174" i="1"/>
  <c r="K162" i="1"/>
  <c r="K150" i="1"/>
  <c r="K138" i="1"/>
  <c r="K126" i="1"/>
  <c r="K114" i="1"/>
  <c r="K102" i="1"/>
  <c r="K90" i="1"/>
  <c r="K78" i="1"/>
  <c r="K66" i="1"/>
  <c r="K54" i="1"/>
  <c r="K42" i="1"/>
  <c r="K30" i="1"/>
  <c r="K18" i="1"/>
  <c r="K180" i="1"/>
  <c r="K156" i="1"/>
  <c r="K108" i="1"/>
  <c r="K24" i="1"/>
  <c r="K6" i="1"/>
  <c r="K167" i="1"/>
  <c r="K131" i="1"/>
  <c r="K95" i="1"/>
  <c r="K59" i="1"/>
  <c r="K23" i="1"/>
  <c r="K178" i="1"/>
  <c r="K142" i="1"/>
  <c r="K106" i="1"/>
  <c r="K70" i="1"/>
  <c r="K22" i="1"/>
  <c r="K45" i="1"/>
  <c r="K197" i="1"/>
  <c r="K185" i="1"/>
  <c r="K173" i="1"/>
  <c r="K161" i="1"/>
  <c r="K149" i="1"/>
  <c r="K137" i="1"/>
  <c r="K125" i="1"/>
  <c r="K113" i="1"/>
  <c r="K101" i="1"/>
  <c r="K89" i="1"/>
  <c r="K77" i="1"/>
  <c r="K65" i="1"/>
  <c r="K53" i="1"/>
  <c r="K41" i="1"/>
  <c r="K29" i="1"/>
  <c r="K17" i="1"/>
</calcChain>
</file>

<file path=xl/sharedStrings.xml><?xml version="1.0" encoding="utf-8"?>
<sst xmlns="http://schemas.openxmlformats.org/spreadsheetml/2006/main" count="564" uniqueCount="84">
  <si>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</si>
  <si>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</si>
  <si>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</si>
  <si>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</si>
  <si>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</si>
  <si>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</si>
  <si>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</si>
  <si>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Net_growth</t>
  </si>
  <si>
    <t>Growth_rate</t>
  </si>
  <si>
    <t>Instagram</t>
  </si>
  <si>
    <t>Twitter</t>
  </si>
  <si>
    <t>YouTube</t>
  </si>
  <si>
    <t>LinkedIn</t>
  </si>
  <si>
    <t>Row Labels</t>
  </si>
  <si>
    <t>Grand Total</t>
  </si>
  <si>
    <t>Column Labels</t>
  </si>
  <si>
    <t>Sum of Net_growth</t>
  </si>
  <si>
    <t>Weekly follower growth per platform</t>
  </si>
  <si>
    <t>TASK_6.1</t>
  </si>
  <si>
    <t>Average of Growth_rate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</si>
  <si>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</si>
  <si>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</si>
  <si>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</si>
  <si>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</si>
  <si>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</si>
  <si>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</si>
  <si>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</si>
  <si>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</si>
  <si>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</si>
  <si>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</si>
  <si>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</si>
  <si>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</si>
  <si>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</si>
  <si>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</si>
  <si>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</si>
  <si>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</si>
  <si>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</si>
  <si>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</si>
  <si>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</si>
  <si>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</si>
  <si>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</si>
  <si>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</si>
  <si>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</si>
  <si>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</si>
  <si>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</si>
  <si>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</si>
  <si>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</si>
  <si>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</si>
  <si>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</si>
  <si>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</si>
  <si>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53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</si>
  <si>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</si>
  <si>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</si>
  <si>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</si>
  <si>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</si>
  <si>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</si>
  <si>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</si>
  <si>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</si>
  <si>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</si>
  <si>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</si>
  <si>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</si>
  <si>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</si>
  <si>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</si>
  <si>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</si>
  <si>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</si>
  <si>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</si>
  <si>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</si>
  <si>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</si>
  <si>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</si>
  <si>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</si>
  <si>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 xml:space="preserve">Identify the peak week of follower gain </t>
  </si>
  <si>
    <t>TASK_6.2</t>
  </si>
  <si>
    <t>Peak Week is Week 23</t>
  </si>
  <si>
    <t>I used a pivot table to Analysis weekly growth values to identify the peak week with the highest growth.</t>
  </si>
  <si>
    <t>3-week moving average</t>
  </si>
  <si>
    <t>Weekname</t>
  </si>
  <si>
    <t>Average of 3-week moving average</t>
  </si>
  <si>
    <t>Average of Net_growth</t>
  </si>
  <si>
    <r>
      <t xml:space="preserve">  </t>
    </r>
    <r>
      <rPr>
        <b/>
        <sz val="16"/>
        <color theme="1"/>
        <rFont val="Calibri"/>
        <family val="2"/>
        <scheme val="minor"/>
      </rPr>
      <t>Moving averages to smooth growth trends</t>
    </r>
  </si>
  <si>
    <r>
      <t xml:space="preserve">                                               </t>
    </r>
    <r>
      <rPr>
        <b/>
        <sz val="20"/>
        <color theme="1"/>
        <rFont val="Calibri"/>
        <family val="2"/>
        <scheme val="minor"/>
      </rPr>
      <t>TASK_6.3</t>
    </r>
  </si>
  <si>
    <t>I USED A PIVOT TABLE AND PIVOT CHART TO ANALYZE THE  MOVING AVERAGE TO SMOOTH GROWTH TREND</t>
  </si>
  <si>
    <t>Correlate ad spend vs. follower growth using scatter plots.</t>
  </si>
  <si>
    <r>
      <t xml:space="preserve">  </t>
    </r>
    <r>
      <rPr>
        <b/>
        <sz val="16"/>
        <color theme="1"/>
        <rFont val="Calibri"/>
        <family val="2"/>
        <scheme val="minor"/>
      </rPr>
      <t>TASK_6.4</t>
    </r>
  </si>
  <si>
    <t>I analyzed Apple’s follower growth to understand how audience is increasing over time. I used moving average to smooth the data and see the overall trend clearly.
The results show that growth changes every week, but the moving average line shows a steady increase. This means Apple’s audience is growing consistently.
I found that Week 23 is the peak week, as it has the highest growth rate. This may be because of a product launch or important campaign.
The scatter plot between ad spend and follower growth shows a positive relationship. When ad spend increases, follower growth also increases. This proves that paid campaigns help in gaining more followers.”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</si>
</sst>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10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" fontId="1" fillId="2" borderId="2" xfId="0" applyNumberFormat="1" applyFont="1" applyFill="1" applyBorder="1" applyAlignment="1">
      <alignment horizontal="center" vertical="top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1" fontId="3" fillId="0" borderId="0" xfId="0" applyNumberFormat="1" applyFont="1"/>
    <xf numFmtId="10" fontId="0" fillId="0" borderId="0" xfId="0" applyNumberFormat="1"/>
    <xf numFmtId="164" fontId="3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9" fillId="2" borderId="2" xfId="0" applyNumberFormat="1" applyFont="1" applyFill="1" applyBorder="1" applyAlignment="1">
      <alignment horizontal="center" vertical="top"/>
    </xf>
    <xf numFmtId="14" fontId="9" fillId="2" borderId="1" xfId="0" applyNumberFormat="1" applyFont="1" applyFill="1" applyBorder="1" applyAlignment="1">
      <alignment horizontal="center" vertical="top"/>
    </xf>
    <xf numFmtId="0" fontId="0" fillId="4" borderId="0" xfId="0" applyFill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8" fillId="6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 wrapText="1"/>
    </xf>
    <xf numFmtId="0" fontId="0" fillId="4" borderId="0" xfId="0" applyFill="1" applyAlignment="1">
      <alignment horizontal="left"/>
    </xf>
    <xf numFmtId="0" fontId="0" fillId="0" borderId="0" xfId="0" applyAlignment="1">
      <alignment horizontal="center" wrapText="1"/>
    </xf>
    <xf numFmtId="0" fontId="6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7" fillId="7" borderId="0" xfId="0" applyFont="1" applyFill="1" applyAlignment="1">
      <alignment horizontal="center"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SOCIAL MEDIA  TASK6.xlsx]TASK_6.1!PivotTable3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 follower growth per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TASK_6.1!$B$10:$B$11</c:f>
              <c:strCache>
                <c:ptCount val="1"/>
                <c:pt idx="0">
                  <c:v>Instagram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TASK_6.1!$A$12:$A$62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TASK_6.1!$B$12:$B$62</c:f>
              <c:numCache>
                <c:formatCode>0</c:formatCode>
                <c:ptCount val="50"/>
                <c:pt idx="1">
                  <c:v>2994</c:v>
                </c:pt>
                <c:pt idx="2">
                  <c:v>8292</c:v>
                </c:pt>
                <c:pt idx="4">
                  <c:v>6128</c:v>
                </c:pt>
                <c:pt idx="5">
                  <c:v>1425</c:v>
                </c:pt>
                <c:pt idx="7">
                  <c:v>15012</c:v>
                </c:pt>
                <c:pt idx="9">
                  <c:v>7959</c:v>
                </c:pt>
                <c:pt idx="11">
                  <c:v>2805</c:v>
                </c:pt>
                <c:pt idx="12">
                  <c:v>3777</c:v>
                </c:pt>
                <c:pt idx="13">
                  <c:v>7215</c:v>
                </c:pt>
                <c:pt idx="14">
                  <c:v>13130</c:v>
                </c:pt>
                <c:pt idx="15">
                  <c:v>4885</c:v>
                </c:pt>
                <c:pt idx="16">
                  <c:v>5928</c:v>
                </c:pt>
                <c:pt idx="18">
                  <c:v>4967</c:v>
                </c:pt>
                <c:pt idx="19">
                  <c:v>2919</c:v>
                </c:pt>
                <c:pt idx="22">
                  <c:v>3213</c:v>
                </c:pt>
                <c:pt idx="23">
                  <c:v>6853</c:v>
                </c:pt>
                <c:pt idx="24">
                  <c:v>13835</c:v>
                </c:pt>
                <c:pt idx="25">
                  <c:v>8231</c:v>
                </c:pt>
                <c:pt idx="26">
                  <c:v>7396</c:v>
                </c:pt>
                <c:pt idx="27">
                  <c:v>7442</c:v>
                </c:pt>
                <c:pt idx="29">
                  <c:v>13040</c:v>
                </c:pt>
                <c:pt idx="31">
                  <c:v>9904</c:v>
                </c:pt>
                <c:pt idx="32">
                  <c:v>4808</c:v>
                </c:pt>
                <c:pt idx="34">
                  <c:v>23973</c:v>
                </c:pt>
                <c:pt idx="38">
                  <c:v>5206</c:v>
                </c:pt>
                <c:pt idx="39">
                  <c:v>14537</c:v>
                </c:pt>
                <c:pt idx="40">
                  <c:v>8999</c:v>
                </c:pt>
                <c:pt idx="41">
                  <c:v>3643</c:v>
                </c:pt>
                <c:pt idx="42">
                  <c:v>3461</c:v>
                </c:pt>
                <c:pt idx="43">
                  <c:v>4802</c:v>
                </c:pt>
                <c:pt idx="44">
                  <c:v>4314</c:v>
                </c:pt>
                <c:pt idx="45">
                  <c:v>4214</c:v>
                </c:pt>
                <c:pt idx="48">
                  <c:v>11468</c:v>
                </c:pt>
                <c:pt idx="49">
                  <c:v>15087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3-4396-B601-CEB0CDBF925F}"/>
            </c:ext>
          </c:extLst>
        </c:ser>
        <c:ser>
          <c:idx val="1"/>
          <c:order val="1"/>
          <c:tx>
            <c:strRef>
              <c:f>TASK_6.1!$C$10:$C$11</c:f>
              <c:strCache>
                <c:ptCount val="1"/>
                <c:pt idx="0">
                  <c:v>LinkedIn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TASK_6.1!$A$12:$A$62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TASK_6.1!$C$12:$C$62</c:f>
              <c:numCache>
                <c:formatCode>0</c:formatCode>
                <c:ptCount val="50"/>
                <c:pt idx="0">
                  <c:v>7432</c:v>
                </c:pt>
                <c:pt idx="1">
                  <c:v>2535</c:v>
                </c:pt>
                <c:pt idx="2">
                  <c:v>19728</c:v>
                </c:pt>
                <c:pt idx="3">
                  <c:v>21227</c:v>
                </c:pt>
                <c:pt idx="4">
                  <c:v>1660</c:v>
                </c:pt>
                <c:pt idx="5">
                  <c:v>4542</c:v>
                </c:pt>
                <c:pt idx="6">
                  <c:v>24995</c:v>
                </c:pt>
                <c:pt idx="8">
                  <c:v>1512</c:v>
                </c:pt>
                <c:pt idx="9">
                  <c:v>2960</c:v>
                </c:pt>
                <c:pt idx="10">
                  <c:v>9254</c:v>
                </c:pt>
                <c:pt idx="11">
                  <c:v>8146</c:v>
                </c:pt>
                <c:pt idx="14">
                  <c:v>6728</c:v>
                </c:pt>
                <c:pt idx="16">
                  <c:v>5442</c:v>
                </c:pt>
                <c:pt idx="17">
                  <c:v>11378</c:v>
                </c:pt>
                <c:pt idx="19">
                  <c:v>7471</c:v>
                </c:pt>
                <c:pt idx="20">
                  <c:v>15403</c:v>
                </c:pt>
                <c:pt idx="21">
                  <c:v>7537</c:v>
                </c:pt>
                <c:pt idx="22">
                  <c:v>4847</c:v>
                </c:pt>
                <c:pt idx="25">
                  <c:v>1513</c:v>
                </c:pt>
                <c:pt idx="26">
                  <c:v>8228</c:v>
                </c:pt>
                <c:pt idx="27">
                  <c:v>6121</c:v>
                </c:pt>
                <c:pt idx="28">
                  <c:v>2199</c:v>
                </c:pt>
                <c:pt idx="32">
                  <c:v>2421</c:v>
                </c:pt>
                <c:pt idx="35">
                  <c:v>14812</c:v>
                </c:pt>
                <c:pt idx="36">
                  <c:v>4942</c:v>
                </c:pt>
                <c:pt idx="37">
                  <c:v>4882</c:v>
                </c:pt>
                <c:pt idx="38">
                  <c:v>9648</c:v>
                </c:pt>
                <c:pt idx="39">
                  <c:v>8945</c:v>
                </c:pt>
                <c:pt idx="40">
                  <c:v>5402</c:v>
                </c:pt>
                <c:pt idx="41">
                  <c:v>7260</c:v>
                </c:pt>
                <c:pt idx="42">
                  <c:v>949</c:v>
                </c:pt>
                <c:pt idx="43">
                  <c:v>8527</c:v>
                </c:pt>
                <c:pt idx="44">
                  <c:v>7541</c:v>
                </c:pt>
                <c:pt idx="45">
                  <c:v>16577</c:v>
                </c:pt>
                <c:pt idx="47">
                  <c:v>12622</c:v>
                </c:pt>
                <c:pt idx="48">
                  <c:v>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3-4396-B601-CEB0CDBF925F}"/>
            </c:ext>
          </c:extLst>
        </c:ser>
        <c:ser>
          <c:idx val="2"/>
          <c:order val="2"/>
          <c:tx>
            <c:strRef>
              <c:f>TASK_6.1!$D$10:$D$11</c:f>
              <c:strCache>
                <c:ptCount val="1"/>
                <c:pt idx="0">
                  <c:v>Twitter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TASK_6.1!$A$12:$A$62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TASK_6.1!$D$12:$D$62</c:f>
              <c:numCache>
                <c:formatCode>0</c:formatCode>
                <c:ptCount val="50"/>
                <c:pt idx="0">
                  <c:v>6326</c:v>
                </c:pt>
                <c:pt idx="1">
                  <c:v>8723</c:v>
                </c:pt>
                <c:pt idx="4">
                  <c:v>6272</c:v>
                </c:pt>
                <c:pt idx="5">
                  <c:v>8319</c:v>
                </c:pt>
                <c:pt idx="7">
                  <c:v>7058</c:v>
                </c:pt>
                <c:pt idx="8">
                  <c:v>15937</c:v>
                </c:pt>
                <c:pt idx="10">
                  <c:v>9202</c:v>
                </c:pt>
                <c:pt idx="11">
                  <c:v>7436</c:v>
                </c:pt>
                <c:pt idx="12">
                  <c:v>7432</c:v>
                </c:pt>
                <c:pt idx="13">
                  <c:v>8369</c:v>
                </c:pt>
                <c:pt idx="14">
                  <c:v>6073</c:v>
                </c:pt>
                <c:pt idx="15">
                  <c:v>15084</c:v>
                </c:pt>
                <c:pt idx="16">
                  <c:v>8463</c:v>
                </c:pt>
                <c:pt idx="17">
                  <c:v>7151</c:v>
                </c:pt>
                <c:pt idx="18">
                  <c:v>7092</c:v>
                </c:pt>
                <c:pt idx="19">
                  <c:v>7346</c:v>
                </c:pt>
                <c:pt idx="20">
                  <c:v>7733</c:v>
                </c:pt>
                <c:pt idx="21">
                  <c:v>6039</c:v>
                </c:pt>
                <c:pt idx="22">
                  <c:v>3497</c:v>
                </c:pt>
                <c:pt idx="23">
                  <c:v>12800</c:v>
                </c:pt>
                <c:pt idx="25">
                  <c:v>5753</c:v>
                </c:pt>
                <c:pt idx="26">
                  <c:v>6593</c:v>
                </c:pt>
                <c:pt idx="28">
                  <c:v>3925</c:v>
                </c:pt>
                <c:pt idx="29">
                  <c:v>4942</c:v>
                </c:pt>
                <c:pt idx="30">
                  <c:v>20155</c:v>
                </c:pt>
                <c:pt idx="31">
                  <c:v>8530</c:v>
                </c:pt>
                <c:pt idx="33">
                  <c:v>16256</c:v>
                </c:pt>
                <c:pt idx="36">
                  <c:v>8687</c:v>
                </c:pt>
                <c:pt idx="37">
                  <c:v>9649</c:v>
                </c:pt>
                <c:pt idx="38">
                  <c:v>6384</c:v>
                </c:pt>
                <c:pt idx="41">
                  <c:v>11789</c:v>
                </c:pt>
                <c:pt idx="42">
                  <c:v>6642</c:v>
                </c:pt>
                <c:pt idx="43">
                  <c:v>6275</c:v>
                </c:pt>
                <c:pt idx="45">
                  <c:v>3079</c:v>
                </c:pt>
                <c:pt idx="46">
                  <c:v>16086</c:v>
                </c:pt>
                <c:pt idx="47">
                  <c:v>1020</c:v>
                </c:pt>
                <c:pt idx="48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9C3-4396-B601-CEB0CDBF925F}"/>
            </c:ext>
          </c:extLst>
        </c:ser>
        <c:ser>
          <c:idx val="3"/>
          <c:order val="3"/>
          <c:tx>
            <c:strRef>
              <c:f>TASK_6.1!$E$10:$E$11</c:f>
              <c:strCache>
                <c:ptCount val="1"/>
                <c:pt idx="0">
                  <c:v>YouTube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TASK_6.1!$A$12:$A$62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TASK_6.1!$E$12:$E$62</c:f>
              <c:numCache>
                <c:formatCode>0</c:formatCode>
                <c:ptCount val="50"/>
                <c:pt idx="0">
                  <c:v>6631</c:v>
                </c:pt>
                <c:pt idx="1">
                  <c:v>3555</c:v>
                </c:pt>
                <c:pt idx="3">
                  <c:v>4189</c:v>
                </c:pt>
                <c:pt idx="4">
                  <c:v>1567</c:v>
                </c:pt>
                <c:pt idx="5">
                  <c:v>6434</c:v>
                </c:pt>
                <c:pt idx="9">
                  <c:v>5210</c:v>
                </c:pt>
                <c:pt idx="10">
                  <c:v>8601</c:v>
                </c:pt>
                <c:pt idx="12">
                  <c:v>15994</c:v>
                </c:pt>
                <c:pt idx="13">
                  <c:v>7478</c:v>
                </c:pt>
                <c:pt idx="15">
                  <c:v>8653</c:v>
                </c:pt>
                <c:pt idx="18">
                  <c:v>1826</c:v>
                </c:pt>
                <c:pt idx="19">
                  <c:v>1001</c:v>
                </c:pt>
                <c:pt idx="20">
                  <c:v>9082</c:v>
                </c:pt>
                <c:pt idx="21">
                  <c:v>3445</c:v>
                </c:pt>
                <c:pt idx="22">
                  <c:v>2543</c:v>
                </c:pt>
                <c:pt idx="23">
                  <c:v>7033</c:v>
                </c:pt>
                <c:pt idx="24">
                  <c:v>9427</c:v>
                </c:pt>
                <c:pt idx="25">
                  <c:v>5303</c:v>
                </c:pt>
                <c:pt idx="27">
                  <c:v>11613</c:v>
                </c:pt>
                <c:pt idx="28">
                  <c:v>9308</c:v>
                </c:pt>
                <c:pt idx="30">
                  <c:v>7654</c:v>
                </c:pt>
                <c:pt idx="32">
                  <c:v>10348</c:v>
                </c:pt>
                <c:pt idx="33">
                  <c:v>7115</c:v>
                </c:pt>
                <c:pt idx="34">
                  <c:v>6918</c:v>
                </c:pt>
                <c:pt idx="35">
                  <c:v>12442</c:v>
                </c:pt>
                <c:pt idx="36">
                  <c:v>3056</c:v>
                </c:pt>
                <c:pt idx="37">
                  <c:v>5220</c:v>
                </c:pt>
                <c:pt idx="39">
                  <c:v>5143</c:v>
                </c:pt>
                <c:pt idx="40">
                  <c:v>3929</c:v>
                </c:pt>
                <c:pt idx="42">
                  <c:v>4790</c:v>
                </c:pt>
                <c:pt idx="44">
                  <c:v>7328</c:v>
                </c:pt>
                <c:pt idx="46">
                  <c:v>12447</c:v>
                </c:pt>
                <c:pt idx="49">
                  <c:v>15359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9C3-4396-B601-CEB0CDBF9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726010544"/>
        <c:axId val="1726019184"/>
      </c:lineChart>
      <c:catAx>
        <c:axId val="17260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19184"/>
        <c:crosses val="autoZero"/>
        <c:auto val="1"/>
        <c:lblAlgn val="ctr"/>
        <c:lblOffset val="100"/>
        <c:noMultiLvlLbl val="0"/>
      </c:catAx>
      <c:valAx>
        <c:axId val="172601918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105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SOCIAL MEDIA  TASK6.xlsx]Task_6.2!PivotTable2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Identify the peak week of follower 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Task_6.2!$B$11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Task_6.2!$A$12:$A$62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Task_6.2!$B$12:$B$62</c:f>
              <c:numCache>
                <c:formatCode>0.00%</c:formatCode>
                <c:ptCount val="50"/>
                <c:pt idx="0">
                  <c:v>5.2411849257477531E-3</c:v>
                </c:pt>
                <c:pt idx="1">
                  <c:v>4.4894941611353517E-3</c:v>
                </c:pt>
                <c:pt idx="2">
                  <c:v>6.9003959993473498E-3</c:v>
                </c:pt>
                <c:pt idx="3">
                  <c:v>6.0973504586752519E-3</c:v>
                </c:pt>
                <c:pt idx="4">
                  <c:v>3.6805800194156762E-3</c:v>
                </c:pt>
                <c:pt idx="5">
                  <c:v>4.7954422677958025E-3</c:v>
                </c:pt>
                <c:pt idx="6">
                  <c:v>5.664991216644385E-3</c:v>
                </c:pt>
                <c:pt idx="7">
                  <c:v>4.8986542567023561E-3</c:v>
                </c:pt>
                <c:pt idx="8">
                  <c:v>3.8067259158579992E-3</c:v>
                </c:pt>
                <c:pt idx="9">
                  <c:v>3.4674530056295395E-3</c:v>
                </c:pt>
                <c:pt idx="10">
                  <c:v>8.5606062874889078E-3</c:v>
                </c:pt>
                <c:pt idx="11">
                  <c:v>3.894653768427579E-3</c:v>
                </c:pt>
                <c:pt idx="12">
                  <c:v>5.8293133917425223E-2</c:v>
                </c:pt>
                <c:pt idx="13">
                  <c:v>4.0709879530613585E-2</c:v>
                </c:pt>
                <c:pt idx="14">
                  <c:v>3.9002218446293334E-2</c:v>
                </c:pt>
                <c:pt idx="15">
                  <c:v>3.6893261984581038E-2</c:v>
                </c:pt>
                <c:pt idx="16">
                  <c:v>2.2784423000092494E-2</c:v>
                </c:pt>
                <c:pt idx="17">
                  <c:v>1.9575443064851476E-2</c:v>
                </c:pt>
                <c:pt idx="18">
                  <c:v>1.3745668486254518E-2</c:v>
                </c:pt>
                <c:pt idx="19">
                  <c:v>5.7674024431785178E-3</c:v>
                </c:pt>
                <c:pt idx="20">
                  <c:v>2.9086759725226393E-2</c:v>
                </c:pt>
                <c:pt idx="21">
                  <c:v>1.4174554119923594E-2</c:v>
                </c:pt>
                <c:pt idx="22">
                  <c:v>1.1184814069724864E-2</c:v>
                </c:pt>
                <c:pt idx="23">
                  <c:v>1.9800951269647184E-2</c:v>
                </c:pt>
                <c:pt idx="24">
                  <c:v>1.6081266189469184E-2</c:v>
                </c:pt>
                <c:pt idx="25">
                  <c:v>1.3548305592720095E-2</c:v>
                </c:pt>
                <c:pt idx="26">
                  <c:v>1.3700236711389251E-2</c:v>
                </c:pt>
                <c:pt idx="27">
                  <c:v>1.4655092629812391E-2</c:v>
                </c:pt>
                <c:pt idx="28">
                  <c:v>8.5977310507304189E-3</c:v>
                </c:pt>
                <c:pt idx="29">
                  <c:v>9.6527089611250227E-3</c:v>
                </c:pt>
                <c:pt idx="30">
                  <c:v>8.3169478605078714E-3</c:v>
                </c:pt>
                <c:pt idx="31">
                  <c:v>9.5176707865745752E-3</c:v>
                </c:pt>
                <c:pt idx="32">
                  <c:v>8.7615220910783123E-3</c:v>
                </c:pt>
                <c:pt idx="33">
                  <c:v>1.1175912049348766E-2</c:v>
                </c:pt>
                <c:pt idx="34">
                  <c:v>1.4027930977963302E-2</c:v>
                </c:pt>
                <c:pt idx="35">
                  <c:v>1.1763310997496296E-2</c:v>
                </c:pt>
                <c:pt idx="36">
                  <c:v>6.9469626131608052E-3</c:v>
                </c:pt>
                <c:pt idx="37">
                  <c:v>7.9742506230642655E-3</c:v>
                </c:pt>
                <c:pt idx="38">
                  <c:v>8.3051161978313793E-3</c:v>
                </c:pt>
                <c:pt idx="39">
                  <c:v>1.075900228619954E-2</c:v>
                </c:pt>
                <c:pt idx="40">
                  <c:v>6.6628754772463938E-3</c:v>
                </c:pt>
                <c:pt idx="41">
                  <c:v>6.5925287295776243E-3</c:v>
                </c:pt>
                <c:pt idx="42">
                  <c:v>5.6214028528899802E-3</c:v>
                </c:pt>
                <c:pt idx="43">
                  <c:v>6.7792959785868108E-3</c:v>
                </c:pt>
                <c:pt idx="44">
                  <c:v>6.4630116706949348E-3</c:v>
                </c:pt>
                <c:pt idx="45">
                  <c:v>7.8100755584475682E-3</c:v>
                </c:pt>
                <c:pt idx="46">
                  <c:v>8.042666857229909E-3</c:v>
                </c:pt>
                <c:pt idx="47">
                  <c:v>3.7619610880896409E-3</c:v>
                </c:pt>
                <c:pt idx="48">
                  <c:v>4.8392951778024919E-3</c:v>
                </c:pt>
                <c:pt idx="49">
                  <c:v>8.0286279815307733E-3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C-48E4-8A59-3C9377A60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442336"/>
        <c:axId val="690441856"/>
      </c:barChart>
      <c:catAx>
        <c:axId val="69044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41856"/>
        <c:crosses val="autoZero"/>
        <c:auto val="1"/>
        <c:lblAlgn val="ctr"/>
        <c:lblOffset val="100"/>
        <c:noMultiLvlLbl val="0"/>
      </c:catAx>
      <c:valAx>
        <c:axId val="69044185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4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SOCIAL MEDIA  TASK6.xlsx]TASK_6.3!PivotTable2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Moving averages to smooth growth trends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TASK_6.3!$B$8</c:f>
              <c:strCache>
                <c:ptCount val="1"/>
                <c:pt idx="0">
                  <c:v>Average of Net_growth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TASK_6.3!$A$9:$A$59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TASK_6.3!$B$9:$B$59</c:f>
              <c:numCache>
                <c:formatCode>0</c:formatCode>
                <c:ptCount val="50"/>
                <c:pt idx="0">
                  <c:v>5097.25</c:v>
                </c:pt>
                <c:pt idx="1">
                  <c:v>4451.75</c:v>
                </c:pt>
                <c:pt idx="2">
                  <c:v>7005</c:v>
                </c:pt>
                <c:pt idx="3">
                  <c:v>6354</c:v>
                </c:pt>
                <c:pt idx="4">
                  <c:v>3906.75</c:v>
                </c:pt>
                <c:pt idx="5">
                  <c:v>5180</c:v>
                </c:pt>
                <c:pt idx="6">
                  <c:v>6248.75</c:v>
                </c:pt>
                <c:pt idx="7">
                  <c:v>5517.5</c:v>
                </c:pt>
                <c:pt idx="8">
                  <c:v>4362.25</c:v>
                </c:pt>
                <c:pt idx="9">
                  <c:v>4032.25</c:v>
                </c:pt>
                <c:pt idx="10">
                  <c:v>6764.25</c:v>
                </c:pt>
                <c:pt idx="11">
                  <c:v>4596.75</c:v>
                </c:pt>
                <c:pt idx="12">
                  <c:v>6800.75</c:v>
                </c:pt>
                <c:pt idx="13">
                  <c:v>5765.5</c:v>
                </c:pt>
                <c:pt idx="14">
                  <c:v>6482.75</c:v>
                </c:pt>
                <c:pt idx="15">
                  <c:v>7155.5</c:v>
                </c:pt>
                <c:pt idx="16">
                  <c:v>4958.25</c:v>
                </c:pt>
                <c:pt idx="17">
                  <c:v>4632.25</c:v>
                </c:pt>
                <c:pt idx="18">
                  <c:v>3471.25</c:v>
                </c:pt>
                <c:pt idx="19">
                  <c:v>4684.25</c:v>
                </c:pt>
                <c:pt idx="20">
                  <c:v>8054.5</c:v>
                </c:pt>
                <c:pt idx="21">
                  <c:v>4255.25</c:v>
                </c:pt>
                <c:pt idx="22">
                  <c:v>3525</c:v>
                </c:pt>
                <c:pt idx="23">
                  <c:v>6671.5</c:v>
                </c:pt>
                <c:pt idx="24">
                  <c:v>5815.5</c:v>
                </c:pt>
                <c:pt idx="25">
                  <c:v>5200</c:v>
                </c:pt>
                <c:pt idx="26">
                  <c:v>5554.25</c:v>
                </c:pt>
                <c:pt idx="27">
                  <c:v>6294</c:v>
                </c:pt>
                <c:pt idx="28">
                  <c:v>3858</c:v>
                </c:pt>
                <c:pt idx="29">
                  <c:v>4495.5</c:v>
                </c:pt>
                <c:pt idx="30">
                  <c:v>6952.25</c:v>
                </c:pt>
                <c:pt idx="31">
                  <c:v>4608.5</c:v>
                </c:pt>
                <c:pt idx="32">
                  <c:v>4394.25</c:v>
                </c:pt>
                <c:pt idx="33">
                  <c:v>5842.75</c:v>
                </c:pt>
                <c:pt idx="34">
                  <c:v>7722.75</c:v>
                </c:pt>
                <c:pt idx="35">
                  <c:v>6813.5</c:v>
                </c:pt>
                <c:pt idx="36">
                  <c:v>4171.25</c:v>
                </c:pt>
                <c:pt idx="37">
                  <c:v>4937.75</c:v>
                </c:pt>
                <c:pt idx="38">
                  <c:v>5309.5</c:v>
                </c:pt>
                <c:pt idx="39">
                  <c:v>7156.25</c:v>
                </c:pt>
                <c:pt idx="40">
                  <c:v>4582.5</c:v>
                </c:pt>
                <c:pt idx="41">
                  <c:v>5673</c:v>
                </c:pt>
                <c:pt idx="42">
                  <c:v>3960.5</c:v>
                </c:pt>
                <c:pt idx="43">
                  <c:v>4901</c:v>
                </c:pt>
                <c:pt idx="44">
                  <c:v>4795.75</c:v>
                </c:pt>
                <c:pt idx="45">
                  <c:v>5967.5</c:v>
                </c:pt>
                <c:pt idx="46">
                  <c:v>7133.25</c:v>
                </c:pt>
                <c:pt idx="47">
                  <c:v>3410.5</c:v>
                </c:pt>
                <c:pt idx="48">
                  <c:v>4464.75</c:v>
                </c:pt>
                <c:pt idx="49">
                  <c:v>7611.5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9-4927-B9F9-1088E2D149F4}"/>
            </c:ext>
          </c:extLst>
        </c:ser>
        <c:ser>
          <c:idx val="1"/>
          <c:order val="1"/>
          <c:tx>
            <c:strRef>
              <c:f>TASK_6.3!$C$8</c:f>
              <c:strCache>
                <c:ptCount val="1"/>
                <c:pt idx="0">
                  <c:v>Average of 3-week 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TASK_6.3!$A$9:$A$59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TASK_6.3!$C$9:$C$59</c:f>
              <c:numCache>
                <c:formatCode>0</c:formatCode>
                <c:ptCount val="50"/>
                <c:pt idx="0">
                  <c:v>6371.9166666666661</c:v>
                </c:pt>
                <c:pt idx="1">
                  <c:v>5003.416666666667</c:v>
                </c:pt>
                <c:pt idx="2">
                  <c:v>5139.333333333333</c:v>
                </c:pt>
                <c:pt idx="3">
                  <c:v>6426.166666666667</c:v>
                </c:pt>
                <c:pt idx="4">
                  <c:v>5989.166666666667</c:v>
                </c:pt>
                <c:pt idx="5">
                  <c:v>4245.5833333333339</c:v>
                </c:pt>
                <c:pt idx="6">
                  <c:v>5543.833333333333</c:v>
                </c:pt>
                <c:pt idx="7">
                  <c:v>5857.916666666667</c:v>
                </c:pt>
                <c:pt idx="8">
                  <c:v>3981</c:v>
                </c:pt>
                <c:pt idx="9">
                  <c:v>4130.833333333333</c:v>
                </c:pt>
                <c:pt idx="10">
                  <c:v>6825.3333333333321</c:v>
                </c:pt>
                <c:pt idx="11">
                  <c:v>4733.916666666667</c:v>
                </c:pt>
                <c:pt idx="12">
                  <c:v>6444</c:v>
                </c:pt>
                <c:pt idx="13">
                  <c:v>7402.1666666666661</c:v>
                </c:pt>
                <c:pt idx="14">
                  <c:v>5740.083333333333</c:v>
                </c:pt>
                <c:pt idx="15">
                  <c:v>6745.666666666667</c:v>
                </c:pt>
                <c:pt idx="16">
                  <c:v>6494.583333333333</c:v>
                </c:pt>
                <c:pt idx="17">
                  <c:v>4547.5</c:v>
                </c:pt>
                <c:pt idx="18">
                  <c:v>4235.8333333333339</c:v>
                </c:pt>
                <c:pt idx="19">
                  <c:v>5422.4166666666661</c:v>
                </c:pt>
                <c:pt idx="20">
                  <c:v>5051.166666666667</c:v>
                </c:pt>
                <c:pt idx="21">
                  <c:v>5932.2500000000009</c:v>
                </c:pt>
                <c:pt idx="22">
                  <c:v>4164.9166666666661</c:v>
                </c:pt>
                <c:pt idx="23">
                  <c:v>5104</c:v>
                </c:pt>
                <c:pt idx="24">
                  <c:v>6645.916666666667</c:v>
                </c:pt>
                <c:pt idx="25">
                  <c:v>4687.083333333333</c:v>
                </c:pt>
                <c:pt idx="26">
                  <c:v>5419.083333333333</c:v>
                </c:pt>
                <c:pt idx="27">
                  <c:v>6900.2500000000009</c:v>
                </c:pt>
                <c:pt idx="28">
                  <c:v>5052.083333333333</c:v>
                </c:pt>
                <c:pt idx="29">
                  <c:v>2998.3333333333335</c:v>
                </c:pt>
                <c:pt idx="30">
                  <c:v>5435.5</c:v>
                </c:pt>
                <c:pt idx="31">
                  <c:v>6177.5</c:v>
                </c:pt>
                <c:pt idx="32">
                  <c:v>3424.333333333333</c:v>
                </c:pt>
                <c:pt idx="33">
                  <c:v>5788.4166666666661</c:v>
                </c:pt>
                <c:pt idx="34">
                  <c:v>6168.583333333333</c:v>
                </c:pt>
                <c:pt idx="35">
                  <c:v>7166.333333333333</c:v>
                </c:pt>
                <c:pt idx="36">
                  <c:v>6391.25</c:v>
                </c:pt>
                <c:pt idx="37">
                  <c:v>3545.333333333333</c:v>
                </c:pt>
                <c:pt idx="38">
                  <c:v>5468.416666666667</c:v>
                </c:pt>
                <c:pt idx="39">
                  <c:v>6554.4166666666661</c:v>
                </c:pt>
                <c:pt idx="40">
                  <c:v>5159.333333333333</c:v>
                </c:pt>
                <c:pt idx="41">
                  <c:v>6562.0833333333339</c:v>
                </c:pt>
                <c:pt idx="42">
                  <c:v>5340.583333333333</c:v>
                </c:pt>
                <c:pt idx="43">
                  <c:v>3134.25</c:v>
                </c:pt>
                <c:pt idx="44">
                  <c:v>4666</c:v>
                </c:pt>
                <c:pt idx="45">
                  <c:v>6670.916666666667</c:v>
                </c:pt>
                <c:pt idx="46">
                  <c:v>5371.583333333333</c:v>
                </c:pt>
                <c:pt idx="47">
                  <c:v>5468</c:v>
                </c:pt>
                <c:pt idx="48">
                  <c:v>3675.5833333333335</c:v>
                </c:pt>
                <c:pt idx="49">
                  <c:v>7148.2499999999991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9-4927-B9F9-1088E2D14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589632"/>
        <c:axId val="904590112"/>
      </c:lineChart>
      <c:catAx>
        <c:axId val="90458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90112"/>
        <c:crosses val="autoZero"/>
        <c:auto val="1"/>
        <c:lblAlgn val="ctr"/>
        <c:lblOffset val="100"/>
        <c:noMultiLvlLbl val="0"/>
      </c:catAx>
      <c:valAx>
        <c:axId val="90459011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8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'ENGAGEMENT SUMMARY'!$I$1</c:f>
              <c:strCache>
                <c:ptCount val="1"/>
                <c:pt idx="0">
                  <c:v>Net_growth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tx1">
                    <a:lumMod val="85000"/>
                    <a:lumOff val="15000"/>
                  </a:schemeClr>
                </a:solidFill>
                <a:prstDash val="sysDot"/>
              </a:ln>
              <a:effectLst>
                <a:glow rad="127000">
                  <a:schemeClr val="accent1">
                    <a:alpha val="61000"/>
                  </a:schemeClr>
                </a:glow>
                <a:softEdge rad="0"/>
              </a:effectLst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'ENGAGEMENT SUMMARY'!$H$2:$H$201</c:f>
              <c:numCache>
                <c:formatCode>"₹"\ #,##0.00</c:formatCode>
                <c:ptCount val="200"/>
                <c:pt idx="0">
                  <c:v>23944</c:v>
                </c:pt>
                <c:pt idx="1">
                  <c:v>29873</c:v>
                </c:pt>
                <c:pt idx="2">
                  <c:v>50372</c:v>
                </c:pt>
                <c:pt idx="3">
                  <c:v>33928</c:v>
                </c:pt>
                <c:pt idx="4">
                  <c:v>25379</c:v>
                </c:pt>
                <c:pt idx="5">
                  <c:v>46751</c:v>
                </c:pt>
                <c:pt idx="6">
                  <c:v>44546</c:v>
                </c:pt>
                <c:pt idx="7">
                  <c:v>34286</c:v>
                </c:pt>
                <c:pt idx="8">
                  <c:v>15110</c:v>
                </c:pt>
                <c:pt idx="9">
                  <c:v>22087</c:v>
                </c:pt>
                <c:pt idx="10">
                  <c:v>33762</c:v>
                </c:pt>
                <c:pt idx="11">
                  <c:v>27081</c:v>
                </c:pt>
                <c:pt idx="12">
                  <c:v>44947</c:v>
                </c:pt>
                <c:pt idx="13">
                  <c:v>19596</c:v>
                </c:pt>
                <c:pt idx="14">
                  <c:v>48019</c:v>
                </c:pt>
                <c:pt idx="15">
                  <c:v>52003</c:v>
                </c:pt>
                <c:pt idx="16">
                  <c:v>28313</c:v>
                </c:pt>
                <c:pt idx="17">
                  <c:v>57639</c:v>
                </c:pt>
                <c:pt idx="18">
                  <c:v>11013</c:v>
                </c:pt>
                <c:pt idx="19">
                  <c:v>59378</c:v>
                </c:pt>
                <c:pt idx="20">
                  <c:v>33705</c:v>
                </c:pt>
                <c:pt idx="21">
                  <c:v>11828</c:v>
                </c:pt>
                <c:pt idx="22">
                  <c:v>17909</c:v>
                </c:pt>
                <c:pt idx="23">
                  <c:v>48356</c:v>
                </c:pt>
                <c:pt idx="24">
                  <c:v>23109</c:v>
                </c:pt>
                <c:pt idx="25">
                  <c:v>12023</c:v>
                </c:pt>
                <c:pt idx="26">
                  <c:v>24537</c:v>
                </c:pt>
                <c:pt idx="27">
                  <c:v>36661</c:v>
                </c:pt>
                <c:pt idx="28">
                  <c:v>48659</c:v>
                </c:pt>
                <c:pt idx="29">
                  <c:v>43848</c:v>
                </c:pt>
                <c:pt idx="30">
                  <c:v>47804</c:v>
                </c:pt>
                <c:pt idx="31">
                  <c:v>25379</c:v>
                </c:pt>
                <c:pt idx="32">
                  <c:v>37766</c:v>
                </c:pt>
                <c:pt idx="33">
                  <c:v>53590</c:v>
                </c:pt>
                <c:pt idx="34">
                  <c:v>12563</c:v>
                </c:pt>
                <c:pt idx="35">
                  <c:v>46060</c:v>
                </c:pt>
                <c:pt idx="36">
                  <c:v>39197</c:v>
                </c:pt>
                <c:pt idx="37">
                  <c:v>13586</c:v>
                </c:pt>
                <c:pt idx="38">
                  <c:v>26087</c:v>
                </c:pt>
                <c:pt idx="39">
                  <c:v>58868</c:v>
                </c:pt>
                <c:pt idx="40">
                  <c:v>33225</c:v>
                </c:pt>
                <c:pt idx="41">
                  <c:v>39750</c:v>
                </c:pt>
                <c:pt idx="42">
                  <c:v>16643</c:v>
                </c:pt>
                <c:pt idx="43">
                  <c:v>37523</c:v>
                </c:pt>
                <c:pt idx="44">
                  <c:v>46727</c:v>
                </c:pt>
                <c:pt idx="45">
                  <c:v>21005</c:v>
                </c:pt>
                <c:pt idx="46">
                  <c:v>53543</c:v>
                </c:pt>
                <c:pt idx="47">
                  <c:v>10161</c:v>
                </c:pt>
                <c:pt idx="48">
                  <c:v>26029</c:v>
                </c:pt>
                <c:pt idx="49">
                  <c:v>59745</c:v>
                </c:pt>
                <c:pt idx="50">
                  <c:v>24226</c:v>
                </c:pt>
                <c:pt idx="51">
                  <c:v>38731</c:v>
                </c:pt>
                <c:pt idx="52">
                  <c:v>53922</c:v>
                </c:pt>
                <c:pt idx="53">
                  <c:v>54848</c:v>
                </c:pt>
                <c:pt idx="54">
                  <c:v>13390</c:v>
                </c:pt>
                <c:pt idx="55">
                  <c:v>15997</c:v>
                </c:pt>
                <c:pt idx="56">
                  <c:v>22693</c:v>
                </c:pt>
                <c:pt idx="57">
                  <c:v>59815</c:v>
                </c:pt>
                <c:pt idx="58">
                  <c:v>52092</c:v>
                </c:pt>
                <c:pt idx="59">
                  <c:v>10541</c:v>
                </c:pt>
                <c:pt idx="60">
                  <c:v>31817</c:v>
                </c:pt>
                <c:pt idx="61">
                  <c:v>47861</c:v>
                </c:pt>
                <c:pt idx="62">
                  <c:v>23428</c:v>
                </c:pt>
                <c:pt idx="63">
                  <c:v>53934</c:v>
                </c:pt>
                <c:pt idx="64">
                  <c:v>58831</c:v>
                </c:pt>
                <c:pt idx="65">
                  <c:v>20258</c:v>
                </c:pt>
                <c:pt idx="66">
                  <c:v>26044</c:v>
                </c:pt>
                <c:pt idx="67">
                  <c:v>39411</c:v>
                </c:pt>
                <c:pt idx="68">
                  <c:v>15469</c:v>
                </c:pt>
                <c:pt idx="69">
                  <c:v>38854</c:v>
                </c:pt>
                <c:pt idx="70">
                  <c:v>16256</c:v>
                </c:pt>
                <c:pt idx="71">
                  <c:v>20720</c:v>
                </c:pt>
                <c:pt idx="72">
                  <c:v>43937</c:v>
                </c:pt>
                <c:pt idx="73">
                  <c:v>43598</c:v>
                </c:pt>
                <c:pt idx="74">
                  <c:v>11651</c:v>
                </c:pt>
                <c:pt idx="75">
                  <c:v>29194</c:v>
                </c:pt>
                <c:pt idx="76">
                  <c:v>35051</c:v>
                </c:pt>
                <c:pt idx="77">
                  <c:v>37386</c:v>
                </c:pt>
                <c:pt idx="78">
                  <c:v>19518</c:v>
                </c:pt>
                <c:pt idx="79">
                  <c:v>56026</c:v>
                </c:pt>
                <c:pt idx="80">
                  <c:v>26184</c:v>
                </c:pt>
                <c:pt idx="81">
                  <c:v>43787</c:v>
                </c:pt>
                <c:pt idx="82">
                  <c:v>31621</c:v>
                </c:pt>
                <c:pt idx="83">
                  <c:v>20028</c:v>
                </c:pt>
                <c:pt idx="84">
                  <c:v>22448</c:v>
                </c:pt>
                <c:pt idx="85">
                  <c:v>55253</c:v>
                </c:pt>
                <c:pt idx="86">
                  <c:v>44051</c:v>
                </c:pt>
                <c:pt idx="87">
                  <c:v>59811</c:v>
                </c:pt>
                <c:pt idx="88">
                  <c:v>40447</c:v>
                </c:pt>
                <c:pt idx="89">
                  <c:v>28394</c:v>
                </c:pt>
                <c:pt idx="90">
                  <c:v>44501</c:v>
                </c:pt>
                <c:pt idx="91">
                  <c:v>40254</c:v>
                </c:pt>
                <c:pt idx="92">
                  <c:v>28509</c:v>
                </c:pt>
                <c:pt idx="93">
                  <c:v>58998</c:v>
                </c:pt>
                <c:pt idx="94">
                  <c:v>24472</c:v>
                </c:pt>
                <c:pt idx="95">
                  <c:v>55657</c:v>
                </c:pt>
                <c:pt idx="96">
                  <c:v>13471</c:v>
                </c:pt>
                <c:pt idx="97">
                  <c:v>51796</c:v>
                </c:pt>
                <c:pt idx="98">
                  <c:v>40268</c:v>
                </c:pt>
                <c:pt idx="99">
                  <c:v>18329</c:v>
                </c:pt>
                <c:pt idx="100">
                  <c:v>44865</c:v>
                </c:pt>
                <c:pt idx="101">
                  <c:v>56850</c:v>
                </c:pt>
                <c:pt idx="102">
                  <c:v>56698</c:v>
                </c:pt>
                <c:pt idx="103">
                  <c:v>38272</c:v>
                </c:pt>
                <c:pt idx="104">
                  <c:v>52845</c:v>
                </c:pt>
                <c:pt idx="105">
                  <c:v>16397</c:v>
                </c:pt>
                <c:pt idx="106">
                  <c:v>42373</c:v>
                </c:pt>
                <c:pt idx="107">
                  <c:v>45525</c:v>
                </c:pt>
                <c:pt idx="108">
                  <c:v>34570</c:v>
                </c:pt>
                <c:pt idx="109">
                  <c:v>28284</c:v>
                </c:pt>
                <c:pt idx="110">
                  <c:v>28994</c:v>
                </c:pt>
                <c:pt idx="111">
                  <c:v>33284</c:v>
                </c:pt>
                <c:pt idx="112">
                  <c:v>27833</c:v>
                </c:pt>
                <c:pt idx="113">
                  <c:v>35122</c:v>
                </c:pt>
                <c:pt idx="114">
                  <c:v>15017</c:v>
                </c:pt>
                <c:pt idx="115">
                  <c:v>26370</c:v>
                </c:pt>
                <c:pt idx="116">
                  <c:v>39252</c:v>
                </c:pt>
                <c:pt idx="117">
                  <c:v>17999</c:v>
                </c:pt>
                <c:pt idx="118">
                  <c:v>32436</c:v>
                </c:pt>
                <c:pt idx="119">
                  <c:v>52963</c:v>
                </c:pt>
                <c:pt idx="120">
                  <c:v>12096</c:v>
                </c:pt>
                <c:pt idx="121">
                  <c:v>58201</c:v>
                </c:pt>
                <c:pt idx="122">
                  <c:v>35279</c:v>
                </c:pt>
                <c:pt idx="123">
                  <c:v>53363</c:v>
                </c:pt>
                <c:pt idx="124">
                  <c:v>58709</c:v>
                </c:pt>
                <c:pt idx="125">
                  <c:v>36201</c:v>
                </c:pt>
                <c:pt idx="126">
                  <c:v>29715</c:v>
                </c:pt>
                <c:pt idx="127">
                  <c:v>39309</c:v>
                </c:pt>
                <c:pt idx="128">
                  <c:v>25078</c:v>
                </c:pt>
                <c:pt idx="129">
                  <c:v>15105</c:v>
                </c:pt>
                <c:pt idx="130">
                  <c:v>39312</c:v>
                </c:pt>
                <c:pt idx="131">
                  <c:v>12839</c:v>
                </c:pt>
                <c:pt idx="132">
                  <c:v>13384</c:v>
                </c:pt>
                <c:pt idx="133">
                  <c:v>53619</c:v>
                </c:pt>
                <c:pt idx="134">
                  <c:v>52821</c:v>
                </c:pt>
                <c:pt idx="135">
                  <c:v>23493</c:v>
                </c:pt>
                <c:pt idx="136">
                  <c:v>27069</c:v>
                </c:pt>
                <c:pt idx="137">
                  <c:v>56907</c:v>
                </c:pt>
                <c:pt idx="138">
                  <c:v>17531</c:v>
                </c:pt>
                <c:pt idx="139">
                  <c:v>47051</c:v>
                </c:pt>
                <c:pt idx="140">
                  <c:v>17736</c:v>
                </c:pt>
                <c:pt idx="141">
                  <c:v>17710</c:v>
                </c:pt>
                <c:pt idx="142">
                  <c:v>11619</c:v>
                </c:pt>
                <c:pt idx="143">
                  <c:v>23975</c:v>
                </c:pt>
                <c:pt idx="144">
                  <c:v>55603</c:v>
                </c:pt>
                <c:pt idx="145">
                  <c:v>33252</c:v>
                </c:pt>
                <c:pt idx="146">
                  <c:v>25261</c:v>
                </c:pt>
                <c:pt idx="147">
                  <c:v>11431</c:v>
                </c:pt>
                <c:pt idx="148">
                  <c:v>19067</c:v>
                </c:pt>
                <c:pt idx="149">
                  <c:v>47481</c:v>
                </c:pt>
                <c:pt idx="150">
                  <c:v>37037</c:v>
                </c:pt>
                <c:pt idx="151">
                  <c:v>19557</c:v>
                </c:pt>
                <c:pt idx="152">
                  <c:v>19435</c:v>
                </c:pt>
                <c:pt idx="153">
                  <c:v>47766</c:v>
                </c:pt>
                <c:pt idx="154">
                  <c:v>10162</c:v>
                </c:pt>
                <c:pt idx="155">
                  <c:v>44742</c:v>
                </c:pt>
                <c:pt idx="156">
                  <c:v>29675</c:v>
                </c:pt>
                <c:pt idx="157">
                  <c:v>18461</c:v>
                </c:pt>
                <c:pt idx="158">
                  <c:v>27015</c:v>
                </c:pt>
                <c:pt idx="159">
                  <c:v>42591</c:v>
                </c:pt>
                <c:pt idx="160">
                  <c:v>38047</c:v>
                </c:pt>
                <c:pt idx="161">
                  <c:v>44782</c:v>
                </c:pt>
                <c:pt idx="162">
                  <c:v>19833</c:v>
                </c:pt>
                <c:pt idx="163">
                  <c:v>17896</c:v>
                </c:pt>
                <c:pt idx="164">
                  <c:v>42972</c:v>
                </c:pt>
                <c:pt idx="165">
                  <c:v>59733</c:v>
                </c:pt>
                <c:pt idx="166">
                  <c:v>51800</c:v>
                </c:pt>
                <c:pt idx="167">
                  <c:v>40508</c:v>
                </c:pt>
                <c:pt idx="168">
                  <c:v>15347</c:v>
                </c:pt>
                <c:pt idx="169">
                  <c:v>40314</c:v>
                </c:pt>
                <c:pt idx="170">
                  <c:v>12643</c:v>
                </c:pt>
                <c:pt idx="171">
                  <c:v>50785</c:v>
                </c:pt>
                <c:pt idx="172">
                  <c:v>28681</c:v>
                </c:pt>
                <c:pt idx="173">
                  <c:v>48328</c:v>
                </c:pt>
                <c:pt idx="174">
                  <c:v>25892</c:v>
                </c:pt>
                <c:pt idx="175">
                  <c:v>57299</c:v>
                </c:pt>
                <c:pt idx="176">
                  <c:v>27073</c:v>
                </c:pt>
                <c:pt idx="177">
                  <c:v>46768</c:v>
                </c:pt>
                <c:pt idx="178">
                  <c:v>40682</c:v>
                </c:pt>
                <c:pt idx="179">
                  <c:v>42262</c:v>
                </c:pt>
                <c:pt idx="180">
                  <c:v>41358</c:v>
                </c:pt>
                <c:pt idx="181">
                  <c:v>24289</c:v>
                </c:pt>
                <c:pt idx="182">
                  <c:v>59823</c:v>
                </c:pt>
                <c:pt idx="183">
                  <c:v>17927</c:v>
                </c:pt>
                <c:pt idx="184">
                  <c:v>58330</c:v>
                </c:pt>
                <c:pt idx="185">
                  <c:v>11171</c:v>
                </c:pt>
                <c:pt idx="186">
                  <c:v>21918</c:v>
                </c:pt>
                <c:pt idx="187">
                  <c:v>51903</c:v>
                </c:pt>
                <c:pt idx="188">
                  <c:v>49110</c:v>
                </c:pt>
                <c:pt idx="189">
                  <c:v>21929</c:v>
                </c:pt>
                <c:pt idx="190">
                  <c:v>12539</c:v>
                </c:pt>
                <c:pt idx="191">
                  <c:v>46727</c:v>
                </c:pt>
                <c:pt idx="192">
                  <c:v>55951</c:v>
                </c:pt>
                <c:pt idx="193">
                  <c:v>32669</c:v>
                </c:pt>
                <c:pt idx="194">
                  <c:v>15432</c:v>
                </c:pt>
                <c:pt idx="195">
                  <c:v>30644</c:v>
                </c:pt>
                <c:pt idx="196">
                  <c:v>28745</c:v>
                </c:pt>
                <c:pt idx="197">
                  <c:v>38228</c:v>
                </c:pt>
                <c:pt idx="198">
                  <c:v>44521</c:v>
                </c:pt>
                <c:pt idx="199">
                  <c:v>41703</c:v>
                </c:pt>
              </c:numCache>
            </c:numRef>
          </c:xVal>
          <c:yVal>
            <c:numRef>
              <c:f>'ENGAGEMENT SUMMARY'!$I$2:$I$201</c:f>
              <c:numCache>
                <c:formatCode>0</c:formatCode>
                <c:ptCount val="200"/>
                <c:pt idx="0">
                  <c:v>3777</c:v>
                </c:pt>
                <c:pt idx="1">
                  <c:v>7432</c:v>
                </c:pt>
                <c:pt idx="2">
                  <c:v>8123</c:v>
                </c:pt>
                <c:pt idx="3">
                  <c:v>7871</c:v>
                </c:pt>
                <c:pt idx="4">
                  <c:v>7215</c:v>
                </c:pt>
                <c:pt idx="5">
                  <c:v>7478</c:v>
                </c:pt>
                <c:pt idx="6">
                  <c:v>4934</c:v>
                </c:pt>
                <c:pt idx="7">
                  <c:v>3435</c:v>
                </c:pt>
                <c:pt idx="8">
                  <c:v>7452</c:v>
                </c:pt>
                <c:pt idx="9">
                  <c:v>6073</c:v>
                </c:pt>
                <c:pt idx="10">
                  <c:v>6728</c:v>
                </c:pt>
                <c:pt idx="11">
                  <c:v>5678</c:v>
                </c:pt>
                <c:pt idx="12">
                  <c:v>8654</c:v>
                </c:pt>
                <c:pt idx="13">
                  <c:v>4885</c:v>
                </c:pt>
                <c:pt idx="14">
                  <c:v>8653</c:v>
                </c:pt>
                <c:pt idx="15">
                  <c:v>6430</c:v>
                </c:pt>
                <c:pt idx="16">
                  <c:v>5442</c:v>
                </c:pt>
                <c:pt idx="17">
                  <c:v>8463</c:v>
                </c:pt>
                <c:pt idx="18">
                  <c:v>3202</c:v>
                </c:pt>
                <c:pt idx="19">
                  <c:v>2726</c:v>
                </c:pt>
                <c:pt idx="20">
                  <c:v>7151</c:v>
                </c:pt>
                <c:pt idx="21">
                  <c:v>1918</c:v>
                </c:pt>
                <c:pt idx="22">
                  <c:v>6236</c:v>
                </c:pt>
                <c:pt idx="23">
                  <c:v>3224</c:v>
                </c:pt>
                <c:pt idx="24">
                  <c:v>3586</c:v>
                </c:pt>
                <c:pt idx="25">
                  <c:v>7092</c:v>
                </c:pt>
                <c:pt idx="26">
                  <c:v>1826</c:v>
                </c:pt>
                <c:pt idx="27">
                  <c:v>1381</c:v>
                </c:pt>
                <c:pt idx="28">
                  <c:v>7429</c:v>
                </c:pt>
                <c:pt idx="29">
                  <c:v>7733</c:v>
                </c:pt>
                <c:pt idx="30">
                  <c:v>7974</c:v>
                </c:pt>
                <c:pt idx="31">
                  <c:v>9082</c:v>
                </c:pt>
                <c:pt idx="32">
                  <c:v>1741</c:v>
                </c:pt>
                <c:pt idx="33">
                  <c:v>5796</c:v>
                </c:pt>
                <c:pt idx="34">
                  <c:v>3445</c:v>
                </c:pt>
                <c:pt idx="35">
                  <c:v>6039</c:v>
                </c:pt>
                <c:pt idx="36">
                  <c:v>3213</c:v>
                </c:pt>
                <c:pt idx="37">
                  <c:v>3497</c:v>
                </c:pt>
                <c:pt idx="38">
                  <c:v>2543</c:v>
                </c:pt>
                <c:pt idx="39">
                  <c:v>4847</c:v>
                </c:pt>
                <c:pt idx="40">
                  <c:v>5795</c:v>
                </c:pt>
                <c:pt idx="41">
                  <c:v>6853</c:v>
                </c:pt>
                <c:pt idx="42">
                  <c:v>7033</c:v>
                </c:pt>
                <c:pt idx="43">
                  <c:v>7005</c:v>
                </c:pt>
                <c:pt idx="44">
                  <c:v>6920</c:v>
                </c:pt>
                <c:pt idx="45">
                  <c:v>5071</c:v>
                </c:pt>
                <c:pt idx="46">
                  <c:v>6915</c:v>
                </c:pt>
                <c:pt idx="47">
                  <c:v>4356</c:v>
                </c:pt>
                <c:pt idx="48">
                  <c:v>1513</c:v>
                </c:pt>
                <c:pt idx="49">
                  <c:v>5753</c:v>
                </c:pt>
                <c:pt idx="50">
                  <c:v>8231</c:v>
                </c:pt>
                <c:pt idx="51">
                  <c:v>5303</c:v>
                </c:pt>
                <c:pt idx="52">
                  <c:v>5520</c:v>
                </c:pt>
                <c:pt idx="53">
                  <c:v>1876</c:v>
                </c:pt>
                <c:pt idx="54">
                  <c:v>6593</c:v>
                </c:pt>
                <c:pt idx="55">
                  <c:v>8228</c:v>
                </c:pt>
                <c:pt idx="56">
                  <c:v>7442</c:v>
                </c:pt>
                <c:pt idx="57">
                  <c:v>9118</c:v>
                </c:pt>
                <c:pt idx="58">
                  <c:v>2495</c:v>
                </c:pt>
                <c:pt idx="59">
                  <c:v>6121</c:v>
                </c:pt>
                <c:pt idx="60">
                  <c:v>7224</c:v>
                </c:pt>
                <c:pt idx="61">
                  <c:v>2199</c:v>
                </c:pt>
                <c:pt idx="62">
                  <c:v>2084</c:v>
                </c:pt>
                <c:pt idx="63">
                  <c:v>3925</c:v>
                </c:pt>
                <c:pt idx="64">
                  <c:v>1309</c:v>
                </c:pt>
                <c:pt idx="65">
                  <c:v>4942</c:v>
                </c:pt>
                <c:pt idx="66">
                  <c:v>4027</c:v>
                </c:pt>
                <c:pt idx="67">
                  <c:v>7704</c:v>
                </c:pt>
                <c:pt idx="68">
                  <c:v>8361</c:v>
                </c:pt>
                <c:pt idx="69">
                  <c:v>5698</c:v>
                </c:pt>
                <c:pt idx="70">
                  <c:v>1543</c:v>
                </c:pt>
                <c:pt idx="71">
                  <c:v>2832</c:v>
                </c:pt>
                <c:pt idx="72">
                  <c:v>2421</c:v>
                </c:pt>
                <c:pt idx="73">
                  <c:v>6201</c:v>
                </c:pt>
                <c:pt idx="74">
                  <c:v>4147</c:v>
                </c:pt>
                <c:pt idx="75">
                  <c:v>4808</c:v>
                </c:pt>
                <c:pt idx="76">
                  <c:v>7767</c:v>
                </c:pt>
                <c:pt idx="77">
                  <c:v>7115</c:v>
                </c:pt>
                <c:pt idx="78">
                  <c:v>3011</c:v>
                </c:pt>
                <c:pt idx="79">
                  <c:v>5478</c:v>
                </c:pt>
                <c:pt idx="80">
                  <c:v>7565</c:v>
                </c:pt>
                <c:pt idx="81">
                  <c:v>6918</c:v>
                </c:pt>
                <c:pt idx="82">
                  <c:v>7921</c:v>
                </c:pt>
                <c:pt idx="83">
                  <c:v>8487</c:v>
                </c:pt>
                <c:pt idx="84">
                  <c:v>6439</c:v>
                </c:pt>
                <c:pt idx="85">
                  <c:v>6003</c:v>
                </c:pt>
                <c:pt idx="86">
                  <c:v>6452</c:v>
                </c:pt>
                <c:pt idx="87">
                  <c:v>8360</c:v>
                </c:pt>
                <c:pt idx="88">
                  <c:v>7218</c:v>
                </c:pt>
                <c:pt idx="89">
                  <c:v>3056</c:v>
                </c:pt>
                <c:pt idx="90">
                  <c:v>4942</c:v>
                </c:pt>
                <c:pt idx="91">
                  <c:v>1469</c:v>
                </c:pt>
                <c:pt idx="92">
                  <c:v>1017</c:v>
                </c:pt>
                <c:pt idx="93">
                  <c:v>8632</c:v>
                </c:pt>
                <c:pt idx="94">
                  <c:v>4882</c:v>
                </c:pt>
                <c:pt idx="95">
                  <c:v>5220</c:v>
                </c:pt>
                <c:pt idx="96">
                  <c:v>5206</c:v>
                </c:pt>
                <c:pt idx="97">
                  <c:v>6384</c:v>
                </c:pt>
                <c:pt idx="98">
                  <c:v>3179</c:v>
                </c:pt>
                <c:pt idx="99">
                  <c:v>6469</c:v>
                </c:pt>
                <c:pt idx="100">
                  <c:v>8485</c:v>
                </c:pt>
                <c:pt idx="101">
                  <c:v>6052</c:v>
                </c:pt>
                <c:pt idx="102">
                  <c:v>8945</c:v>
                </c:pt>
                <c:pt idx="103">
                  <c:v>5143</c:v>
                </c:pt>
                <c:pt idx="104">
                  <c:v>1369</c:v>
                </c:pt>
                <c:pt idx="105">
                  <c:v>5402</c:v>
                </c:pt>
                <c:pt idx="106">
                  <c:v>7630</c:v>
                </c:pt>
                <c:pt idx="107">
                  <c:v>3929</c:v>
                </c:pt>
                <c:pt idx="108">
                  <c:v>6642</c:v>
                </c:pt>
                <c:pt idx="109">
                  <c:v>3461</c:v>
                </c:pt>
                <c:pt idx="110">
                  <c:v>4790</c:v>
                </c:pt>
                <c:pt idx="111">
                  <c:v>949</c:v>
                </c:pt>
                <c:pt idx="112">
                  <c:v>3592</c:v>
                </c:pt>
                <c:pt idx="113">
                  <c:v>1210</c:v>
                </c:pt>
                <c:pt idx="114">
                  <c:v>8527</c:v>
                </c:pt>
                <c:pt idx="115">
                  <c:v>6275</c:v>
                </c:pt>
                <c:pt idx="116">
                  <c:v>1367</c:v>
                </c:pt>
                <c:pt idx="117">
                  <c:v>4314</c:v>
                </c:pt>
                <c:pt idx="118">
                  <c:v>6174</c:v>
                </c:pt>
                <c:pt idx="119">
                  <c:v>7328</c:v>
                </c:pt>
                <c:pt idx="120">
                  <c:v>8200</c:v>
                </c:pt>
                <c:pt idx="121">
                  <c:v>4214</c:v>
                </c:pt>
                <c:pt idx="122">
                  <c:v>8377</c:v>
                </c:pt>
                <c:pt idx="123">
                  <c:v>3079</c:v>
                </c:pt>
                <c:pt idx="124">
                  <c:v>9254</c:v>
                </c:pt>
                <c:pt idx="125">
                  <c:v>7668</c:v>
                </c:pt>
                <c:pt idx="126">
                  <c:v>8601</c:v>
                </c:pt>
                <c:pt idx="127">
                  <c:v>1534</c:v>
                </c:pt>
                <c:pt idx="128">
                  <c:v>7471</c:v>
                </c:pt>
                <c:pt idx="129">
                  <c:v>2919</c:v>
                </c:pt>
                <c:pt idx="130">
                  <c:v>7346</c:v>
                </c:pt>
                <c:pt idx="131">
                  <c:v>1001</c:v>
                </c:pt>
                <c:pt idx="132">
                  <c:v>8518</c:v>
                </c:pt>
                <c:pt idx="133">
                  <c:v>7421</c:v>
                </c:pt>
                <c:pt idx="134">
                  <c:v>4216</c:v>
                </c:pt>
                <c:pt idx="135">
                  <c:v>7654</c:v>
                </c:pt>
                <c:pt idx="136">
                  <c:v>7260</c:v>
                </c:pt>
                <c:pt idx="137">
                  <c:v>6361</c:v>
                </c:pt>
                <c:pt idx="138">
                  <c:v>5428</c:v>
                </c:pt>
                <c:pt idx="139">
                  <c:v>3643</c:v>
                </c:pt>
                <c:pt idx="140">
                  <c:v>3805</c:v>
                </c:pt>
                <c:pt idx="141">
                  <c:v>8128</c:v>
                </c:pt>
                <c:pt idx="142">
                  <c:v>8642</c:v>
                </c:pt>
                <c:pt idx="143">
                  <c:v>7958</c:v>
                </c:pt>
                <c:pt idx="144">
                  <c:v>3420</c:v>
                </c:pt>
                <c:pt idx="145">
                  <c:v>2525</c:v>
                </c:pt>
                <c:pt idx="146">
                  <c:v>1020</c:v>
                </c:pt>
                <c:pt idx="147">
                  <c:v>6677</c:v>
                </c:pt>
                <c:pt idx="148">
                  <c:v>1290</c:v>
                </c:pt>
                <c:pt idx="149">
                  <c:v>5101</c:v>
                </c:pt>
                <c:pt idx="150">
                  <c:v>5439</c:v>
                </c:pt>
                <c:pt idx="151">
                  <c:v>6029</c:v>
                </c:pt>
                <c:pt idx="152">
                  <c:v>9125</c:v>
                </c:pt>
                <c:pt idx="153">
                  <c:v>8979</c:v>
                </c:pt>
                <c:pt idx="154">
                  <c:v>6380</c:v>
                </c:pt>
                <c:pt idx="155">
                  <c:v>5962</c:v>
                </c:pt>
                <c:pt idx="156">
                  <c:v>6631</c:v>
                </c:pt>
                <c:pt idx="157">
                  <c:v>7432</c:v>
                </c:pt>
                <c:pt idx="158">
                  <c:v>2081</c:v>
                </c:pt>
                <c:pt idx="159">
                  <c:v>4245</c:v>
                </c:pt>
                <c:pt idx="160">
                  <c:v>8723</c:v>
                </c:pt>
                <c:pt idx="161">
                  <c:v>2994</c:v>
                </c:pt>
                <c:pt idx="162">
                  <c:v>3555</c:v>
                </c:pt>
                <c:pt idx="163">
                  <c:v>2535</c:v>
                </c:pt>
                <c:pt idx="164">
                  <c:v>7509</c:v>
                </c:pt>
                <c:pt idx="165">
                  <c:v>8292</c:v>
                </c:pt>
                <c:pt idx="166">
                  <c:v>4852</c:v>
                </c:pt>
                <c:pt idx="167">
                  <c:v>7367</c:v>
                </c:pt>
                <c:pt idx="168">
                  <c:v>9044</c:v>
                </c:pt>
                <c:pt idx="169">
                  <c:v>2848</c:v>
                </c:pt>
                <c:pt idx="170">
                  <c:v>4189</c:v>
                </c:pt>
                <c:pt idx="171">
                  <c:v>9335</c:v>
                </c:pt>
                <c:pt idx="172">
                  <c:v>6272</c:v>
                </c:pt>
                <c:pt idx="173">
                  <c:v>6128</c:v>
                </c:pt>
                <c:pt idx="174">
                  <c:v>1567</c:v>
                </c:pt>
                <c:pt idx="175">
                  <c:v>1660</c:v>
                </c:pt>
                <c:pt idx="176">
                  <c:v>6434</c:v>
                </c:pt>
                <c:pt idx="177">
                  <c:v>4542</c:v>
                </c:pt>
                <c:pt idx="178">
                  <c:v>8319</c:v>
                </c:pt>
                <c:pt idx="179">
                  <c:v>1425</c:v>
                </c:pt>
                <c:pt idx="180">
                  <c:v>7849</c:v>
                </c:pt>
                <c:pt idx="181">
                  <c:v>6368</c:v>
                </c:pt>
                <c:pt idx="182">
                  <c:v>4788</c:v>
                </c:pt>
                <c:pt idx="183">
                  <c:v>5990</c:v>
                </c:pt>
                <c:pt idx="184">
                  <c:v>5491</c:v>
                </c:pt>
                <c:pt idx="185">
                  <c:v>6425</c:v>
                </c:pt>
                <c:pt idx="186">
                  <c:v>7058</c:v>
                </c:pt>
                <c:pt idx="187">
                  <c:v>3096</c:v>
                </c:pt>
                <c:pt idx="188">
                  <c:v>1512</c:v>
                </c:pt>
                <c:pt idx="189">
                  <c:v>2926</c:v>
                </c:pt>
                <c:pt idx="190">
                  <c:v>7555</c:v>
                </c:pt>
                <c:pt idx="191">
                  <c:v>5456</c:v>
                </c:pt>
                <c:pt idx="192">
                  <c:v>893</c:v>
                </c:pt>
                <c:pt idx="193">
                  <c:v>5210</c:v>
                </c:pt>
                <c:pt idx="194">
                  <c:v>2067</c:v>
                </c:pt>
                <c:pt idx="195">
                  <c:v>7959</c:v>
                </c:pt>
                <c:pt idx="196">
                  <c:v>2805</c:v>
                </c:pt>
                <c:pt idx="197">
                  <c:v>7025</c:v>
                </c:pt>
                <c:pt idx="198">
                  <c:v>1121</c:v>
                </c:pt>
                <c:pt idx="199">
                  <c:v>7436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1E-4B28-B3E1-0A29939CD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640960"/>
        <c:axId val="924638560"/>
      </c:scatterChart>
      <c:valAx>
        <c:axId val="92464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38560"/>
        <c:crosses val="autoZero"/>
        <c:crossBetween val="midCat"/>
      </c:valAx>
      <c:valAx>
        <c:axId val="9246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4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SOCIAL MEDIA  TASK6.xlsx]TASK_6.1!PivotTable3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 follower growth per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TASK_6.1!$B$10:$B$11</c:f>
              <c:strCache>
                <c:ptCount val="1"/>
                <c:pt idx="0">
                  <c:v>Instagram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TASK_6.1!$A$12:$A$62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TASK_6.1!$B$12:$B$62</c:f>
              <c:numCache>
                <c:formatCode>0</c:formatCode>
                <c:ptCount val="50"/>
                <c:pt idx="1">
                  <c:v>2994</c:v>
                </c:pt>
                <c:pt idx="2">
                  <c:v>8292</c:v>
                </c:pt>
                <c:pt idx="4">
                  <c:v>6128</c:v>
                </c:pt>
                <c:pt idx="5">
                  <c:v>1425</c:v>
                </c:pt>
                <c:pt idx="7">
                  <c:v>15012</c:v>
                </c:pt>
                <c:pt idx="9">
                  <c:v>7959</c:v>
                </c:pt>
                <c:pt idx="11">
                  <c:v>2805</c:v>
                </c:pt>
                <c:pt idx="12">
                  <c:v>3777</c:v>
                </c:pt>
                <c:pt idx="13">
                  <c:v>7215</c:v>
                </c:pt>
                <c:pt idx="14">
                  <c:v>13130</c:v>
                </c:pt>
                <c:pt idx="15">
                  <c:v>4885</c:v>
                </c:pt>
                <c:pt idx="16">
                  <c:v>5928</c:v>
                </c:pt>
                <c:pt idx="18">
                  <c:v>4967</c:v>
                </c:pt>
                <c:pt idx="19">
                  <c:v>2919</c:v>
                </c:pt>
                <c:pt idx="22">
                  <c:v>3213</c:v>
                </c:pt>
                <c:pt idx="23">
                  <c:v>6853</c:v>
                </c:pt>
                <c:pt idx="24">
                  <c:v>13835</c:v>
                </c:pt>
                <c:pt idx="25">
                  <c:v>8231</c:v>
                </c:pt>
                <c:pt idx="26">
                  <c:v>7396</c:v>
                </c:pt>
                <c:pt idx="27">
                  <c:v>7442</c:v>
                </c:pt>
                <c:pt idx="29">
                  <c:v>13040</c:v>
                </c:pt>
                <c:pt idx="31">
                  <c:v>9904</c:v>
                </c:pt>
                <c:pt idx="32">
                  <c:v>4808</c:v>
                </c:pt>
                <c:pt idx="34">
                  <c:v>23973</c:v>
                </c:pt>
                <c:pt idx="38">
                  <c:v>5206</c:v>
                </c:pt>
                <c:pt idx="39">
                  <c:v>14537</c:v>
                </c:pt>
                <c:pt idx="40">
                  <c:v>8999</c:v>
                </c:pt>
                <c:pt idx="41">
                  <c:v>3643</c:v>
                </c:pt>
                <c:pt idx="42">
                  <c:v>3461</c:v>
                </c:pt>
                <c:pt idx="43">
                  <c:v>4802</c:v>
                </c:pt>
                <c:pt idx="44">
                  <c:v>4314</c:v>
                </c:pt>
                <c:pt idx="45">
                  <c:v>4214</c:v>
                </c:pt>
                <c:pt idx="48">
                  <c:v>11468</c:v>
                </c:pt>
                <c:pt idx="49">
                  <c:v>15087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10-4445-A6B5-171BA806940A}"/>
            </c:ext>
          </c:extLst>
        </c:ser>
        <c:ser>
          <c:idx val="1"/>
          <c:order val="1"/>
          <c:tx>
            <c:strRef>
              <c:f>TASK_6.1!$C$10:$C$11</c:f>
              <c:strCache>
                <c:ptCount val="1"/>
                <c:pt idx="0">
                  <c:v>LinkedIn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TASK_6.1!$A$12:$A$62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TASK_6.1!$C$12:$C$62</c:f>
              <c:numCache>
                <c:formatCode>0</c:formatCode>
                <c:ptCount val="50"/>
                <c:pt idx="0">
                  <c:v>7432</c:v>
                </c:pt>
                <c:pt idx="1">
                  <c:v>2535</c:v>
                </c:pt>
                <c:pt idx="2">
                  <c:v>19728</c:v>
                </c:pt>
                <c:pt idx="3">
                  <c:v>21227</c:v>
                </c:pt>
                <c:pt idx="4">
                  <c:v>1660</c:v>
                </c:pt>
                <c:pt idx="5">
                  <c:v>4542</c:v>
                </c:pt>
                <c:pt idx="6">
                  <c:v>24995</c:v>
                </c:pt>
                <c:pt idx="8">
                  <c:v>1512</c:v>
                </c:pt>
                <c:pt idx="9">
                  <c:v>2960</c:v>
                </c:pt>
                <c:pt idx="10">
                  <c:v>9254</c:v>
                </c:pt>
                <c:pt idx="11">
                  <c:v>8146</c:v>
                </c:pt>
                <c:pt idx="14">
                  <c:v>6728</c:v>
                </c:pt>
                <c:pt idx="16">
                  <c:v>5442</c:v>
                </c:pt>
                <c:pt idx="17">
                  <c:v>11378</c:v>
                </c:pt>
                <c:pt idx="19">
                  <c:v>7471</c:v>
                </c:pt>
                <c:pt idx="20">
                  <c:v>15403</c:v>
                </c:pt>
                <c:pt idx="21">
                  <c:v>7537</c:v>
                </c:pt>
                <c:pt idx="22">
                  <c:v>4847</c:v>
                </c:pt>
                <c:pt idx="25">
                  <c:v>1513</c:v>
                </c:pt>
                <c:pt idx="26">
                  <c:v>8228</c:v>
                </c:pt>
                <c:pt idx="27">
                  <c:v>6121</c:v>
                </c:pt>
                <c:pt idx="28">
                  <c:v>2199</c:v>
                </c:pt>
                <c:pt idx="32">
                  <c:v>2421</c:v>
                </c:pt>
                <c:pt idx="35">
                  <c:v>14812</c:v>
                </c:pt>
                <c:pt idx="36">
                  <c:v>4942</c:v>
                </c:pt>
                <c:pt idx="37">
                  <c:v>4882</c:v>
                </c:pt>
                <c:pt idx="38">
                  <c:v>9648</c:v>
                </c:pt>
                <c:pt idx="39">
                  <c:v>8945</c:v>
                </c:pt>
                <c:pt idx="40">
                  <c:v>5402</c:v>
                </c:pt>
                <c:pt idx="41">
                  <c:v>7260</c:v>
                </c:pt>
                <c:pt idx="42">
                  <c:v>949</c:v>
                </c:pt>
                <c:pt idx="43">
                  <c:v>8527</c:v>
                </c:pt>
                <c:pt idx="44">
                  <c:v>7541</c:v>
                </c:pt>
                <c:pt idx="45">
                  <c:v>16577</c:v>
                </c:pt>
                <c:pt idx="47">
                  <c:v>12622</c:v>
                </c:pt>
                <c:pt idx="48">
                  <c:v>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10-4445-A6B5-171BA806940A}"/>
            </c:ext>
          </c:extLst>
        </c:ser>
        <c:ser>
          <c:idx val="2"/>
          <c:order val="2"/>
          <c:tx>
            <c:strRef>
              <c:f>TASK_6.1!$D$10:$D$11</c:f>
              <c:strCache>
                <c:ptCount val="1"/>
                <c:pt idx="0">
                  <c:v>Twitter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TASK_6.1!$A$12:$A$62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TASK_6.1!$D$12:$D$62</c:f>
              <c:numCache>
                <c:formatCode>0</c:formatCode>
                <c:ptCount val="50"/>
                <c:pt idx="0">
                  <c:v>6326</c:v>
                </c:pt>
                <c:pt idx="1">
                  <c:v>8723</c:v>
                </c:pt>
                <c:pt idx="4">
                  <c:v>6272</c:v>
                </c:pt>
                <c:pt idx="5">
                  <c:v>8319</c:v>
                </c:pt>
                <c:pt idx="7">
                  <c:v>7058</c:v>
                </c:pt>
                <c:pt idx="8">
                  <c:v>15937</c:v>
                </c:pt>
                <c:pt idx="10">
                  <c:v>9202</c:v>
                </c:pt>
                <c:pt idx="11">
                  <c:v>7436</c:v>
                </c:pt>
                <c:pt idx="12">
                  <c:v>7432</c:v>
                </c:pt>
                <c:pt idx="13">
                  <c:v>8369</c:v>
                </c:pt>
                <c:pt idx="14">
                  <c:v>6073</c:v>
                </c:pt>
                <c:pt idx="15">
                  <c:v>15084</c:v>
                </c:pt>
                <c:pt idx="16">
                  <c:v>8463</c:v>
                </c:pt>
                <c:pt idx="17">
                  <c:v>7151</c:v>
                </c:pt>
                <c:pt idx="18">
                  <c:v>7092</c:v>
                </c:pt>
                <c:pt idx="19">
                  <c:v>7346</c:v>
                </c:pt>
                <c:pt idx="20">
                  <c:v>7733</c:v>
                </c:pt>
                <c:pt idx="21">
                  <c:v>6039</c:v>
                </c:pt>
                <c:pt idx="22">
                  <c:v>3497</c:v>
                </c:pt>
                <c:pt idx="23">
                  <c:v>12800</c:v>
                </c:pt>
                <c:pt idx="25">
                  <c:v>5753</c:v>
                </c:pt>
                <c:pt idx="26">
                  <c:v>6593</c:v>
                </c:pt>
                <c:pt idx="28">
                  <c:v>3925</c:v>
                </c:pt>
                <c:pt idx="29">
                  <c:v>4942</c:v>
                </c:pt>
                <c:pt idx="30">
                  <c:v>20155</c:v>
                </c:pt>
                <c:pt idx="31">
                  <c:v>8530</c:v>
                </c:pt>
                <c:pt idx="33">
                  <c:v>16256</c:v>
                </c:pt>
                <c:pt idx="36">
                  <c:v>8687</c:v>
                </c:pt>
                <c:pt idx="37">
                  <c:v>9649</c:v>
                </c:pt>
                <c:pt idx="38">
                  <c:v>6384</c:v>
                </c:pt>
                <c:pt idx="41">
                  <c:v>11789</c:v>
                </c:pt>
                <c:pt idx="42">
                  <c:v>6642</c:v>
                </c:pt>
                <c:pt idx="43">
                  <c:v>6275</c:v>
                </c:pt>
                <c:pt idx="45">
                  <c:v>3079</c:v>
                </c:pt>
                <c:pt idx="46">
                  <c:v>16086</c:v>
                </c:pt>
                <c:pt idx="47">
                  <c:v>1020</c:v>
                </c:pt>
                <c:pt idx="48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10-4445-A6B5-171BA806940A}"/>
            </c:ext>
          </c:extLst>
        </c:ser>
        <c:ser>
          <c:idx val="3"/>
          <c:order val="3"/>
          <c:tx>
            <c:strRef>
              <c:f>TASK_6.1!$E$10:$E$11</c:f>
              <c:strCache>
                <c:ptCount val="1"/>
                <c:pt idx="0">
                  <c:v>YouTube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TASK_6.1!$A$12:$A$62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TASK_6.1!$E$12:$E$62</c:f>
              <c:numCache>
                <c:formatCode>0</c:formatCode>
                <c:ptCount val="50"/>
                <c:pt idx="0">
                  <c:v>6631</c:v>
                </c:pt>
                <c:pt idx="1">
                  <c:v>3555</c:v>
                </c:pt>
                <c:pt idx="3">
                  <c:v>4189</c:v>
                </c:pt>
                <c:pt idx="4">
                  <c:v>1567</c:v>
                </c:pt>
                <c:pt idx="5">
                  <c:v>6434</c:v>
                </c:pt>
                <c:pt idx="9">
                  <c:v>5210</c:v>
                </c:pt>
                <c:pt idx="10">
                  <c:v>8601</c:v>
                </c:pt>
                <c:pt idx="12">
                  <c:v>15994</c:v>
                </c:pt>
                <c:pt idx="13">
                  <c:v>7478</c:v>
                </c:pt>
                <c:pt idx="15">
                  <c:v>8653</c:v>
                </c:pt>
                <c:pt idx="18">
                  <c:v>1826</c:v>
                </c:pt>
                <c:pt idx="19">
                  <c:v>1001</c:v>
                </c:pt>
                <c:pt idx="20">
                  <c:v>9082</c:v>
                </c:pt>
                <c:pt idx="21">
                  <c:v>3445</c:v>
                </c:pt>
                <c:pt idx="22">
                  <c:v>2543</c:v>
                </c:pt>
                <c:pt idx="23">
                  <c:v>7033</c:v>
                </c:pt>
                <c:pt idx="24">
                  <c:v>9427</c:v>
                </c:pt>
                <c:pt idx="25">
                  <c:v>5303</c:v>
                </c:pt>
                <c:pt idx="27">
                  <c:v>11613</c:v>
                </c:pt>
                <c:pt idx="28">
                  <c:v>9308</c:v>
                </c:pt>
                <c:pt idx="30">
                  <c:v>7654</c:v>
                </c:pt>
                <c:pt idx="32">
                  <c:v>10348</c:v>
                </c:pt>
                <c:pt idx="33">
                  <c:v>7115</c:v>
                </c:pt>
                <c:pt idx="34">
                  <c:v>6918</c:v>
                </c:pt>
                <c:pt idx="35">
                  <c:v>12442</c:v>
                </c:pt>
                <c:pt idx="36">
                  <c:v>3056</c:v>
                </c:pt>
                <c:pt idx="37">
                  <c:v>5220</c:v>
                </c:pt>
                <c:pt idx="39">
                  <c:v>5143</c:v>
                </c:pt>
                <c:pt idx="40">
                  <c:v>3929</c:v>
                </c:pt>
                <c:pt idx="42">
                  <c:v>4790</c:v>
                </c:pt>
                <c:pt idx="44">
                  <c:v>7328</c:v>
                </c:pt>
                <c:pt idx="46">
                  <c:v>12447</c:v>
                </c:pt>
                <c:pt idx="49">
                  <c:v>15359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10-4445-A6B5-171BA8069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726010544"/>
        <c:axId val="1726019184"/>
      </c:lineChart>
      <c:catAx>
        <c:axId val="17260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19184"/>
        <c:crosses val="autoZero"/>
        <c:auto val="1"/>
        <c:lblAlgn val="ctr"/>
        <c:lblOffset val="100"/>
        <c:noMultiLvlLbl val="0"/>
      </c:catAx>
      <c:valAx>
        <c:axId val="172601918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105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SOCIAL MEDIA  TASK6.xlsx]Task_6.2!PivotTable2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Identify the peak week of follower 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Task_6.2!$B$11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Task_6.2!$A$12:$A$62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Task_6.2!$B$12:$B$62</c:f>
              <c:numCache>
                <c:formatCode>0.00%</c:formatCode>
                <c:ptCount val="50"/>
                <c:pt idx="0">
                  <c:v>5.2411849257477531E-3</c:v>
                </c:pt>
                <c:pt idx="1">
                  <c:v>4.4894941611353517E-3</c:v>
                </c:pt>
                <c:pt idx="2">
                  <c:v>6.9003959993473498E-3</c:v>
                </c:pt>
                <c:pt idx="3">
                  <c:v>6.0973504586752519E-3</c:v>
                </c:pt>
                <c:pt idx="4">
                  <c:v>3.6805800194156762E-3</c:v>
                </c:pt>
                <c:pt idx="5">
                  <c:v>4.7954422677958025E-3</c:v>
                </c:pt>
                <c:pt idx="6">
                  <c:v>5.664991216644385E-3</c:v>
                </c:pt>
                <c:pt idx="7">
                  <c:v>4.8986542567023561E-3</c:v>
                </c:pt>
                <c:pt idx="8">
                  <c:v>3.8067259158579992E-3</c:v>
                </c:pt>
                <c:pt idx="9">
                  <c:v>3.4674530056295395E-3</c:v>
                </c:pt>
                <c:pt idx="10">
                  <c:v>8.5606062874889078E-3</c:v>
                </c:pt>
                <c:pt idx="11">
                  <c:v>3.894653768427579E-3</c:v>
                </c:pt>
                <c:pt idx="12">
                  <c:v>5.8293133917425223E-2</c:v>
                </c:pt>
                <c:pt idx="13">
                  <c:v>4.0709879530613585E-2</c:v>
                </c:pt>
                <c:pt idx="14">
                  <c:v>3.9002218446293334E-2</c:v>
                </c:pt>
                <c:pt idx="15">
                  <c:v>3.6893261984581038E-2</c:v>
                </c:pt>
                <c:pt idx="16">
                  <c:v>2.2784423000092494E-2</c:v>
                </c:pt>
                <c:pt idx="17">
                  <c:v>1.9575443064851476E-2</c:v>
                </c:pt>
                <c:pt idx="18">
                  <c:v>1.3745668486254518E-2</c:v>
                </c:pt>
                <c:pt idx="19">
                  <c:v>5.7674024431785178E-3</c:v>
                </c:pt>
                <c:pt idx="20">
                  <c:v>2.9086759725226393E-2</c:v>
                </c:pt>
                <c:pt idx="21">
                  <c:v>1.4174554119923594E-2</c:v>
                </c:pt>
                <c:pt idx="22">
                  <c:v>1.1184814069724864E-2</c:v>
                </c:pt>
                <c:pt idx="23">
                  <c:v>1.9800951269647184E-2</c:v>
                </c:pt>
                <c:pt idx="24">
                  <c:v>1.6081266189469184E-2</c:v>
                </c:pt>
                <c:pt idx="25">
                  <c:v>1.3548305592720095E-2</c:v>
                </c:pt>
                <c:pt idx="26">
                  <c:v>1.3700236711389251E-2</c:v>
                </c:pt>
                <c:pt idx="27">
                  <c:v>1.4655092629812391E-2</c:v>
                </c:pt>
                <c:pt idx="28">
                  <c:v>8.5977310507304189E-3</c:v>
                </c:pt>
                <c:pt idx="29">
                  <c:v>9.6527089611250227E-3</c:v>
                </c:pt>
                <c:pt idx="30">
                  <c:v>8.3169478605078714E-3</c:v>
                </c:pt>
                <c:pt idx="31">
                  <c:v>9.5176707865745752E-3</c:v>
                </c:pt>
                <c:pt idx="32">
                  <c:v>8.7615220910783123E-3</c:v>
                </c:pt>
                <c:pt idx="33">
                  <c:v>1.1175912049348766E-2</c:v>
                </c:pt>
                <c:pt idx="34">
                  <c:v>1.4027930977963302E-2</c:v>
                </c:pt>
                <c:pt idx="35">
                  <c:v>1.1763310997496296E-2</c:v>
                </c:pt>
                <c:pt idx="36">
                  <c:v>6.9469626131608052E-3</c:v>
                </c:pt>
                <c:pt idx="37">
                  <c:v>7.9742506230642655E-3</c:v>
                </c:pt>
                <c:pt idx="38">
                  <c:v>8.3051161978313793E-3</c:v>
                </c:pt>
                <c:pt idx="39">
                  <c:v>1.075900228619954E-2</c:v>
                </c:pt>
                <c:pt idx="40">
                  <c:v>6.6628754772463938E-3</c:v>
                </c:pt>
                <c:pt idx="41">
                  <c:v>6.5925287295776243E-3</c:v>
                </c:pt>
                <c:pt idx="42">
                  <c:v>5.6214028528899802E-3</c:v>
                </c:pt>
                <c:pt idx="43">
                  <c:v>6.7792959785868108E-3</c:v>
                </c:pt>
                <c:pt idx="44">
                  <c:v>6.4630116706949348E-3</c:v>
                </c:pt>
                <c:pt idx="45">
                  <c:v>7.8100755584475682E-3</c:v>
                </c:pt>
                <c:pt idx="46">
                  <c:v>8.042666857229909E-3</c:v>
                </c:pt>
                <c:pt idx="47">
                  <c:v>3.7619610880896409E-3</c:v>
                </c:pt>
                <c:pt idx="48">
                  <c:v>4.8392951778024919E-3</c:v>
                </c:pt>
                <c:pt idx="49">
                  <c:v>8.0286279815307733E-3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F-41BA-95AC-0439B98A9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442336"/>
        <c:axId val="690441856"/>
      </c:barChart>
      <c:catAx>
        <c:axId val="69044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41856"/>
        <c:crosses val="autoZero"/>
        <c:auto val="1"/>
        <c:lblAlgn val="ctr"/>
        <c:lblOffset val="100"/>
        <c:noMultiLvlLbl val="0"/>
      </c:catAx>
      <c:valAx>
        <c:axId val="69044185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4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SOCIAL MEDIA  TASK6.xlsx]TASK_6.3!PivotTable2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Moving averages to smooth growth trends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TASK_6.3!$B$8</c:f>
              <c:strCache>
                <c:ptCount val="1"/>
                <c:pt idx="0">
                  <c:v>Average of Net_growth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TASK_6.3!$A$9:$A$59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TASK_6.3!$B$9:$B$59</c:f>
              <c:numCache>
                <c:formatCode>0</c:formatCode>
                <c:ptCount val="50"/>
                <c:pt idx="0">
                  <c:v>5097.25</c:v>
                </c:pt>
                <c:pt idx="1">
                  <c:v>4451.75</c:v>
                </c:pt>
                <c:pt idx="2">
                  <c:v>7005</c:v>
                </c:pt>
                <c:pt idx="3">
                  <c:v>6354</c:v>
                </c:pt>
                <c:pt idx="4">
                  <c:v>3906.75</c:v>
                </c:pt>
                <c:pt idx="5">
                  <c:v>5180</c:v>
                </c:pt>
                <c:pt idx="6">
                  <c:v>6248.75</c:v>
                </c:pt>
                <c:pt idx="7">
                  <c:v>5517.5</c:v>
                </c:pt>
                <c:pt idx="8">
                  <c:v>4362.25</c:v>
                </c:pt>
                <c:pt idx="9">
                  <c:v>4032.25</c:v>
                </c:pt>
                <c:pt idx="10">
                  <c:v>6764.25</c:v>
                </c:pt>
                <c:pt idx="11">
                  <c:v>4596.75</c:v>
                </c:pt>
                <c:pt idx="12">
                  <c:v>6800.75</c:v>
                </c:pt>
                <c:pt idx="13">
                  <c:v>5765.5</c:v>
                </c:pt>
                <c:pt idx="14">
                  <c:v>6482.75</c:v>
                </c:pt>
                <c:pt idx="15">
                  <c:v>7155.5</c:v>
                </c:pt>
                <c:pt idx="16">
                  <c:v>4958.25</c:v>
                </c:pt>
                <c:pt idx="17">
                  <c:v>4632.25</c:v>
                </c:pt>
                <c:pt idx="18">
                  <c:v>3471.25</c:v>
                </c:pt>
                <c:pt idx="19">
                  <c:v>4684.25</c:v>
                </c:pt>
                <c:pt idx="20">
                  <c:v>8054.5</c:v>
                </c:pt>
                <c:pt idx="21">
                  <c:v>4255.25</c:v>
                </c:pt>
                <c:pt idx="22">
                  <c:v>3525</c:v>
                </c:pt>
                <c:pt idx="23">
                  <c:v>6671.5</c:v>
                </c:pt>
                <c:pt idx="24">
                  <c:v>5815.5</c:v>
                </c:pt>
                <c:pt idx="25">
                  <c:v>5200</c:v>
                </c:pt>
                <c:pt idx="26">
                  <c:v>5554.25</c:v>
                </c:pt>
                <c:pt idx="27">
                  <c:v>6294</c:v>
                </c:pt>
                <c:pt idx="28">
                  <c:v>3858</c:v>
                </c:pt>
                <c:pt idx="29">
                  <c:v>4495.5</c:v>
                </c:pt>
                <c:pt idx="30">
                  <c:v>6952.25</c:v>
                </c:pt>
                <c:pt idx="31">
                  <c:v>4608.5</c:v>
                </c:pt>
                <c:pt idx="32">
                  <c:v>4394.25</c:v>
                </c:pt>
                <c:pt idx="33">
                  <c:v>5842.75</c:v>
                </c:pt>
                <c:pt idx="34">
                  <c:v>7722.75</c:v>
                </c:pt>
                <c:pt idx="35">
                  <c:v>6813.5</c:v>
                </c:pt>
                <c:pt idx="36">
                  <c:v>4171.25</c:v>
                </c:pt>
                <c:pt idx="37">
                  <c:v>4937.75</c:v>
                </c:pt>
                <c:pt idx="38">
                  <c:v>5309.5</c:v>
                </c:pt>
                <c:pt idx="39">
                  <c:v>7156.25</c:v>
                </c:pt>
                <c:pt idx="40">
                  <c:v>4582.5</c:v>
                </c:pt>
                <c:pt idx="41">
                  <c:v>5673</c:v>
                </c:pt>
                <c:pt idx="42">
                  <c:v>3960.5</c:v>
                </c:pt>
                <c:pt idx="43">
                  <c:v>4901</c:v>
                </c:pt>
                <c:pt idx="44">
                  <c:v>4795.75</c:v>
                </c:pt>
                <c:pt idx="45">
                  <c:v>5967.5</c:v>
                </c:pt>
                <c:pt idx="46">
                  <c:v>7133.25</c:v>
                </c:pt>
                <c:pt idx="47">
                  <c:v>3410.5</c:v>
                </c:pt>
                <c:pt idx="48">
                  <c:v>4464.75</c:v>
                </c:pt>
                <c:pt idx="49">
                  <c:v>7611.5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6-4A45-9578-C70B395213EF}"/>
            </c:ext>
          </c:extLst>
        </c:ser>
        <c:ser>
          <c:idx val="1"/>
          <c:order val="1"/>
          <c:tx>
            <c:strRef>
              <c:f>TASK_6.3!$C$8</c:f>
              <c:strCache>
                <c:ptCount val="1"/>
                <c:pt idx="0">
                  <c:v>Average of 3-week 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TASK_6.3!$A$9:$A$59</c:f>
              <c:strCache>
                <c:ptCount val="50"/>
                <c:pt idx="0">
                  <c:v>Week 10</c:v>
                </c:pt>
                <c:pt idx="1">
                  <c:v>Week 11</c:v>
                </c:pt>
                <c:pt idx="2">
                  <c:v>Week 12</c:v>
                </c:pt>
                <c:pt idx="3">
                  <c:v>Week 13</c:v>
                </c:pt>
                <c:pt idx="4">
                  <c:v>Week 14</c:v>
                </c:pt>
                <c:pt idx="5">
                  <c:v>Week 15</c:v>
                </c:pt>
                <c:pt idx="6">
                  <c:v>Week 16</c:v>
                </c:pt>
                <c:pt idx="7">
                  <c:v>Week 17</c:v>
                </c:pt>
                <c:pt idx="8">
                  <c:v>Week 18</c:v>
                </c:pt>
                <c:pt idx="9">
                  <c:v>Week 19</c:v>
                </c:pt>
                <c:pt idx="10">
                  <c:v>Week 2</c:v>
                </c:pt>
                <c:pt idx="11">
                  <c:v>Week 20</c:v>
                </c:pt>
                <c:pt idx="12">
                  <c:v>Week 23</c:v>
                </c:pt>
                <c:pt idx="13">
                  <c:v>Week 24</c:v>
                </c:pt>
                <c:pt idx="14">
                  <c:v>Week 25</c:v>
                </c:pt>
                <c:pt idx="15">
                  <c:v>Week 26</c:v>
                </c:pt>
                <c:pt idx="16">
                  <c:v>Week 27</c:v>
                </c:pt>
                <c:pt idx="17">
                  <c:v>Week 28</c:v>
                </c:pt>
                <c:pt idx="18">
                  <c:v>Week 29</c:v>
                </c:pt>
                <c:pt idx="19">
                  <c:v>Week 3</c:v>
                </c:pt>
                <c:pt idx="20">
                  <c:v>Week 30</c:v>
                </c:pt>
                <c:pt idx="21">
                  <c:v>Week 31</c:v>
                </c:pt>
                <c:pt idx="22">
                  <c:v>Week 32</c:v>
                </c:pt>
                <c:pt idx="23">
                  <c:v>Week 33</c:v>
                </c:pt>
                <c:pt idx="24">
                  <c:v>Week 34</c:v>
                </c:pt>
                <c:pt idx="25">
                  <c:v>Week 35</c:v>
                </c:pt>
                <c:pt idx="26">
                  <c:v>Week 36</c:v>
                </c:pt>
                <c:pt idx="27">
                  <c:v>Week 37</c:v>
                </c:pt>
                <c:pt idx="28">
                  <c:v>Week 38</c:v>
                </c:pt>
                <c:pt idx="29">
                  <c:v>Week 39</c:v>
                </c:pt>
                <c:pt idx="30">
                  <c:v>Week 4</c:v>
                </c:pt>
                <c:pt idx="31">
                  <c:v>Week 40</c:v>
                </c:pt>
                <c:pt idx="32">
                  <c:v>Week 41</c:v>
                </c:pt>
                <c:pt idx="33">
                  <c:v>Week 42</c:v>
                </c:pt>
                <c:pt idx="34">
                  <c:v>Week 43</c:v>
                </c:pt>
                <c:pt idx="35">
                  <c:v>Week 44</c:v>
                </c:pt>
                <c:pt idx="36">
                  <c:v>Week 45</c:v>
                </c:pt>
                <c:pt idx="37">
                  <c:v>Week 46</c:v>
                </c:pt>
                <c:pt idx="38">
                  <c:v>Week 47</c:v>
                </c:pt>
                <c:pt idx="39">
                  <c:v>Week 48</c:v>
                </c:pt>
                <c:pt idx="40">
                  <c:v>Week 49</c:v>
                </c:pt>
                <c:pt idx="41">
                  <c:v>Week 5</c:v>
                </c:pt>
                <c:pt idx="42">
                  <c:v>Week 50</c:v>
                </c:pt>
                <c:pt idx="43">
                  <c:v>Week 51</c:v>
                </c:pt>
                <c:pt idx="44">
                  <c:v>Week 52</c:v>
                </c:pt>
                <c:pt idx="45">
                  <c:v>Week 53</c:v>
                </c:pt>
                <c:pt idx="46">
                  <c:v>Week 6</c:v>
                </c:pt>
                <c:pt idx="47">
                  <c:v>Week 7</c:v>
                </c:pt>
                <c:pt idx="48">
                  <c:v>Week 8</c:v>
                </c:pt>
                <c:pt idx="49">
                  <c:v>Week 9</c:v>
                </c:pt>
              </c:strCache>
            </c:strRef>
          </c:cat>
          <c:val>
            <c:numRef>
              <c:f>TASK_6.3!$C$9:$C$59</c:f>
              <c:numCache>
                <c:formatCode>0</c:formatCode>
                <c:ptCount val="50"/>
                <c:pt idx="0">
                  <c:v>6371.9166666666661</c:v>
                </c:pt>
                <c:pt idx="1">
                  <c:v>5003.416666666667</c:v>
                </c:pt>
                <c:pt idx="2">
                  <c:v>5139.333333333333</c:v>
                </c:pt>
                <c:pt idx="3">
                  <c:v>6426.166666666667</c:v>
                </c:pt>
                <c:pt idx="4">
                  <c:v>5989.166666666667</c:v>
                </c:pt>
                <c:pt idx="5">
                  <c:v>4245.5833333333339</c:v>
                </c:pt>
                <c:pt idx="6">
                  <c:v>5543.833333333333</c:v>
                </c:pt>
                <c:pt idx="7">
                  <c:v>5857.916666666667</c:v>
                </c:pt>
                <c:pt idx="8">
                  <c:v>3981</c:v>
                </c:pt>
                <c:pt idx="9">
                  <c:v>4130.833333333333</c:v>
                </c:pt>
                <c:pt idx="10">
                  <c:v>6825.3333333333321</c:v>
                </c:pt>
                <c:pt idx="11">
                  <c:v>4733.916666666667</c:v>
                </c:pt>
                <c:pt idx="12">
                  <c:v>6444</c:v>
                </c:pt>
                <c:pt idx="13">
                  <c:v>7402.1666666666661</c:v>
                </c:pt>
                <c:pt idx="14">
                  <c:v>5740.083333333333</c:v>
                </c:pt>
                <c:pt idx="15">
                  <c:v>6745.666666666667</c:v>
                </c:pt>
                <c:pt idx="16">
                  <c:v>6494.583333333333</c:v>
                </c:pt>
                <c:pt idx="17">
                  <c:v>4547.5</c:v>
                </c:pt>
                <c:pt idx="18">
                  <c:v>4235.8333333333339</c:v>
                </c:pt>
                <c:pt idx="19">
                  <c:v>5422.4166666666661</c:v>
                </c:pt>
                <c:pt idx="20">
                  <c:v>5051.166666666667</c:v>
                </c:pt>
                <c:pt idx="21">
                  <c:v>5932.2500000000009</c:v>
                </c:pt>
                <c:pt idx="22">
                  <c:v>4164.9166666666661</c:v>
                </c:pt>
                <c:pt idx="23">
                  <c:v>5104</c:v>
                </c:pt>
                <c:pt idx="24">
                  <c:v>6645.916666666667</c:v>
                </c:pt>
                <c:pt idx="25">
                  <c:v>4687.083333333333</c:v>
                </c:pt>
                <c:pt idx="26">
                  <c:v>5419.083333333333</c:v>
                </c:pt>
                <c:pt idx="27">
                  <c:v>6900.2500000000009</c:v>
                </c:pt>
                <c:pt idx="28">
                  <c:v>5052.083333333333</c:v>
                </c:pt>
                <c:pt idx="29">
                  <c:v>2998.3333333333335</c:v>
                </c:pt>
                <c:pt idx="30">
                  <c:v>5435.5</c:v>
                </c:pt>
                <c:pt idx="31">
                  <c:v>6177.5</c:v>
                </c:pt>
                <c:pt idx="32">
                  <c:v>3424.333333333333</c:v>
                </c:pt>
                <c:pt idx="33">
                  <c:v>5788.4166666666661</c:v>
                </c:pt>
                <c:pt idx="34">
                  <c:v>6168.583333333333</c:v>
                </c:pt>
                <c:pt idx="35">
                  <c:v>7166.333333333333</c:v>
                </c:pt>
                <c:pt idx="36">
                  <c:v>6391.25</c:v>
                </c:pt>
                <c:pt idx="37">
                  <c:v>3545.333333333333</c:v>
                </c:pt>
                <c:pt idx="38">
                  <c:v>5468.416666666667</c:v>
                </c:pt>
                <c:pt idx="39">
                  <c:v>6554.4166666666661</c:v>
                </c:pt>
                <c:pt idx="40">
                  <c:v>5159.333333333333</c:v>
                </c:pt>
                <c:pt idx="41">
                  <c:v>6562.0833333333339</c:v>
                </c:pt>
                <c:pt idx="42">
                  <c:v>5340.583333333333</c:v>
                </c:pt>
                <c:pt idx="43">
                  <c:v>3134.25</c:v>
                </c:pt>
                <c:pt idx="44">
                  <c:v>4666</c:v>
                </c:pt>
                <c:pt idx="45">
                  <c:v>6670.916666666667</c:v>
                </c:pt>
                <c:pt idx="46">
                  <c:v>5371.583333333333</c:v>
                </c:pt>
                <c:pt idx="47">
                  <c:v>5468</c:v>
                </c:pt>
                <c:pt idx="48">
                  <c:v>3675.5833333333335</c:v>
                </c:pt>
                <c:pt idx="49">
                  <c:v>7148.2499999999991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66-4A45-9578-C70B39521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589632"/>
        <c:axId val="904590112"/>
      </c:lineChart>
      <c:catAx>
        <c:axId val="90458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90112"/>
        <c:crosses val="autoZero"/>
        <c:auto val="1"/>
        <c:lblAlgn val="ctr"/>
        <c:lblOffset val="100"/>
        <c:noMultiLvlLbl val="0"/>
      </c:catAx>
      <c:valAx>
        <c:axId val="90459011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8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'ENGAGEMENT SUMMARY'!$I$1</c:f>
              <c:strCache>
                <c:ptCount val="1"/>
                <c:pt idx="0">
                  <c:v>Net_growth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tx1">
                    <a:lumMod val="85000"/>
                    <a:lumOff val="15000"/>
                  </a:schemeClr>
                </a:solidFill>
                <a:prstDash val="sysDot"/>
              </a:ln>
              <a:effectLst>
                <a:glow rad="127000">
                  <a:schemeClr val="accent1">
                    <a:alpha val="61000"/>
                  </a:schemeClr>
                </a:glow>
                <a:softEdge rad="0"/>
              </a:effectLst>
            </c:spPr>
            <c:trendlineType val="linear"/>
            <c:forward val="2"/>
            <c:dispRSqr val="0"/>
            <c:dispEq val="0"/>
          </c:trendline>
          <c:xVal>
            <c:numRef>
              <c:f>'ENGAGEMENT SUMMARY'!$H$2:$H$201</c:f>
              <c:numCache>
                <c:formatCode>"₹"\ #,##0.00</c:formatCode>
                <c:ptCount val="200"/>
                <c:pt idx="0">
                  <c:v>23944</c:v>
                </c:pt>
                <c:pt idx="1">
                  <c:v>29873</c:v>
                </c:pt>
                <c:pt idx="2">
                  <c:v>50372</c:v>
                </c:pt>
                <c:pt idx="3">
                  <c:v>33928</c:v>
                </c:pt>
                <c:pt idx="4">
                  <c:v>25379</c:v>
                </c:pt>
                <c:pt idx="5">
                  <c:v>46751</c:v>
                </c:pt>
                <c:pt idx="6">
                  <c:v>44546</c:v>
                </c:pt>
                <c:pt idx="7">
                  <c:v>34286</c:v>
                </c:pt>
                <c:pt idx="8">
                  <c:v>15110</c:v>
                </c:pt>
                <c:pt idx="9">
                  <c:v>22087</c:v>
                </c:pt>
                <c:pt idx="10">
                  <c:v>33762</c:v>
                </c:pt>
                <c:pt idx="11">
                  <c:v>27081</c:v>
                </c:pt>
                <c:pt idx="12">
                  <c:v>44947</c:v>
                </c:pt>
                <c:pt idx="13">
                  <c:v>19596</c:v>
                </c:pt>
                <c:pt idx="14">
                  <c:v>48019</c:v>
                </c:pt>
                <c:pt idx="15">
                  <c:v>52003</c:v>
                </c:pt>
                <c:pt idx="16">
                  <c:v>28313</c:v>
                </c:pt>
                <c:pt idx="17">
                  <c:v>57639</c:v>
                </c:pt>
                <c:pt idx="18">
                  <c:v>11013</c:v>
                </c:pt>
                <c:pt idx="19">
                  <c:v>59378</c:v>
                </c:pt>
                <c:pt idx="20">
                  <c:v>33705</c:v>
                </c:pt>
                <c:pt idx="21">
                  <c:v>11828</c:v>
                </c:pt>
                <c:pt idx="22">
                  <c:v>17909</c:v>
                </c:pt>
                <c:pt idx="23">
                  <c:v>48356</c:v>
                </c:pt>
                <c:pt idx="24">
                  <c:v>23109</c:v>
                </c:pt>
                <c:pt idx="25">
                  <c:v>12023</c:v>
                </c:pt>
                <c:pt idx="26">
                  <c:v>24537</c:v>
                </c:pt>
                <c:pt idx="27">
                  <c:v>36661</c:v>
                </c:pt>
                <c:pt idx="28">
                  <c:v>48659</c:v>
                </c:pt>
                <c:pt idx="29">
                  <c:v>43848</c:v>
                </c:pt>
                <c:pt idx="30">
                  <c:v>47804</c:v>
                </c:pt>
                <c:pt idx="31">
                  <c:v>25379</c:v>
                </c:pt>
                <c:pt idx="32">
                  <c:v>37766</c:v>
                </c:pt>
                <c:pt idx="33">
                  <c:v>53590</c:v>
                </c:pt>
                <c:pt idx="34">
                  <c:v>12563</c:v>
                </c:pt>
                <c:pt idx="35">
                  <c:v>46060</c:v>
                </c:pt>
                <c:pt idx="36">
                  <c:v>39197</c:v>
                </c:pt>
                <c:pt idx="37">
                  <c:v>13586</c:v>
                </c:pt>
                <c:pt idx="38">
                  <c:v>26087</c:v>
                </c:pt>
                <c:pt idx="39">
                  <c:v>58868</c:v>
                </c:pt>
                <c:pt idx="40">
                  <c:v>33225</c:v>
                </c:pt>
                <c:pt idx="41">
                  <c:v>39750</c:v>
                </c:pt>
                <c:pt idx="42">
                  <c:v>16643</c:v>
                </c:pt>
                <c:pt idx="43">
                  <c:v>37523</c:v>
                </c:pt>
                <c:pt idx="44">
                  <c:v>46727</c:v>
                </c:pt>
                <c:pt idx="45">
                  <c:v>21005</c:v>
                </c:pt>
                <c:pt idx="46">
                  <c:v>53543</c:v>
                </c:pt>
                <c:pt idx="47">
                  <c:v>10161</c:v>
                </c:pt>
                <c:pt idx="48">
                  <c:v>26029</c:v>
                </c:pt>
                <c:pt idx="49">
                  <c:v>59745</c:v>
                </c:pt>
                <c:pt idx="50">
                  <c:v>24226</c:v>
                </c:pt>
                <c:pt idx="51">
                  <c:v>38731</c:v>
                </c:pt>
                <c:pt idx="52">
                  <c:v>53922</c:v>
                </c:pt>
                <c:pt idx="53">
                  <c:v>54848</c:v>
                </c:pt>
                <c:pt idx="54">
                  <c:v>13390</c:v>
                </c:pt>
                <c:pt idx="55">
                  <c:v>15997</c:v>
                </c:pt>
                <c:pt idx="56">
                  <c:v>22693</c:v>
                </c:pt>
                <c:pt idx="57">
                  <c:v>59815</c:v>
                </c:pt>
                <c:pt idx="58">
                  <c:v>52092</c:v>
                </c:pt>
                <c:pt idx="59">
                  <c:v>10541</c:v>
                </c:pt>
                <c:pt idx="60">
                  <c:v>31817</c:v>
                </c:pt>
                <c:pt idx="61">
                  <c:v>47861</c:v>
                </c:pt>
                <c:pt idx="62">
                  <c:v>23428</c:v>
                </c:pt>
                <c:pt idx="63">
                  <c:v>53934</c:v>
                </c:pt>
                <c:pt idx="64">
                  <c:v>58831</c:v>
                </c:pt>
                <c:pt idx="65">
                  <c:v>20258</c:v>
                </c:pt>
                <c:pt idx="66">
                  <c:v>26044</c:v>
                </c:pt>
                <c:pt idx="67">
                  <c:v>39411</c:v>
                </c:pt>
                <c:pt idx="68">
                  <c:v>15469</c:v>
                </c:pt>
                <c:pt idx="69">
                  <c:v>38854</c:v>
                </c:pt>
                <c:pt idx="70">
                  <c:v>16256</c:v>
                </c:pt>
                <c:pt idx="71">
                  <c:v>20720</c:v>
                </c:pt>
                <c:pt idx="72">
                  <c:v>43937</c:v>
                </c:pt>
                <c:pt idx="73">
                  <c:v>43598</c:v>
                </c:pt>
                <c:pt idx="74">
                  <c:v>11651</c:v>
                </c:pt>
                <c:pt idx="75">
                  <c:v>29194</c:v>
                </c:pt>
                <c:pt idx="76">
                  <c:v>35051</c:v>
                </c:pt>
                <c:pt idx="77">
                  <c:v>37386</c:v>
                </c:pt>
                <c:pt idx="78">
                  <c:v>19518</c:v>
                </c:pt>
                <c:pt idx="79">
                  <c:v>56026</c:v>
                </c:pt>
                <c:pt idx="80">
                  <c:v>26184</c:v>
                </c:pt>
                <c:pt idx="81">
                  <c:v>43787</c:v>
                </c:pt>
                <c:pt idx="82">
                  <c:v>31621</c:v>
                </c:pt>
                <c:pt idx="83">
                  <c:v>20028</c:v>
                </c:pt>
                <c:pt idx="84">
                  <c:v>22448</c:v>
                </c:pt>
                <c:pt idx="85">
                  <c:v>55253</c:v>
                </c:pt>
                <c:pt idx="86">
                  <c:v>44051</c:v>
                </c:pt>
                <c:pt idx="87">
                  <c:v>59811</c:v>
                </c:pt>
                <c:pt idx="88">
                  <c:v>40447</c:v>
                </c:pt>
                <c:pt idx="89">
                  <c:v>28394</c:v>
                </c:pt>
                <c:pt idx="90">
                  <c:v>44501</c:v>
                </c:pt>
                <c:pt idx="91">
                  <c:v>40254</c:v>
                </c:pt>
                <c:pt idx="92">
                  <c:v>28509</c:v>
                </c:pt>
                <c:pt idx="93">
                  <c:v>58998</c:v>
                </c:pt>
                <c:pt idx="94">
                  <c:v>24472</c:v>
                </c:pt>
                <c:pt idx="95">
                  <c:v>55657</c:v>
                </c:pt>
                <c:pt idx="96">
                  <c:v>13471</c:v>
                </c:pt>
                <c:pt idx="97">
                  <c:v>51796</c:v>
                </c:pt>
                <c:pt idx="98">
                  <c:v>40268</c:v>
                </c:pt>
                <c:pt idx="99">
                  <c:v>18329</c:v>
                </c:pt>
                <c:pt idx="100">
                  <c:v>44865</c:v>
                </c:pt>
                <c:pt idx="101">
                  <c:v>56850</c:v>
                </c:pt>
                <c:pt idx="102">
                  <c:v>56698</c:v>
                </c:pt>
                <c:pt idx="103">
                  <c:v>38272</c:v>
                </c:pt>
                <c:pt idx="104">
                  <c:v>52845</c:v>
                </c:pt>
                <c:pt idx="105">
                  <c:v>16397</c:v>
                </c:pt>
                <c:pt idx="106">
                  <c:v>42373</c:v>
                </c:pt>
                <c:pt idx="107">
                  <c:v>45525</c:v>
                </c:pt>
                <c:pt idx="108">
                  <c:v>34570</c:v>
                </c:pt>
                <c:pt idx="109">
                  <c:v>28284</c:v>
                </c:pt>
                <c:pt idx="110">
                  <c:v>28994</c:v>
                </c:pt>
                <c:pt idx="111">
                  <c:v>33284</c:v>
                </c:pt>
                <c:pt idx="112">
                  <c:v>27833</c:v>
                </c:pt>
                <c:pt idx="113">
                  <c:v>35122</c:v>
                </c:pt>
                <c:pt idx="114">
                  <c:v>15017</c:v>
                </c:pt>
                <c:pt idx="115">
                  <c:v>26370</c:v>
                </c:pt>
                <c:pt idx="116">
                  <c:v>39252</c:v>
                </c:pt>
                <c:pt idx="117">
                  <c:v>17999</c:v>
                </c:pt>
                <c:pt idx="118">
                  <c:v>32436</c:v>
                </c:pt>
                <c:pt idx="119">
                  <c:v>52963</c:v>
                </c:pt>
                <c:pt idx="120">
                  <c:v>12096</c:v>
                </c:pt>
                <c:pt idx="121">
                  <c:v>58201</c:v>
                </c:pt>
                <c:pt idx="122">
                  <c:v>35279</c:v>
                </c:pt>
                <c:pt idx="123">
                  <c:v>53363</c:v>
                </c:pt>
                <c:pt idx="124">
                  <c:v>58709</c:v>
                </c:pt>
                <c:pt idx="125">
                  <c:v>36201</c:v>
                </c:pt>
                <c:pt idx="126">
                  <c:v>29715</c:v>
                </c:pt>
                <c:pt idx="127">
                  <c:v>39309</c:v>
                </c:pt>
                <c:pt idx="128">
                  <c:v>25078</c:v>
                </c:pt>
                <c:pt idx="129">
                  <c:v>15105</c:v>
                </c:pt>
                <c:pt idx="130">
                  <c:v>39312</c:v>
                </c:pt>
                <c:pt idx="131">
                  <c:v>12839</c:v>
                </c:pt>
                <c:pt idx="132">
                  <c:v>13384</c:v>
                </c:pt>
                <c:pt idx="133">
                  <c:v>53619</c:v>
                </c:pt>
                <c:pt idx="134">
                  <c:v>52821</c:v>
                </c:pt>
                <c:pt idx="135">
                  <c:v>23493</c:v>
                </c:pt>
                <c:pt idx="136">
                  <c:v>27069</c:v>
                </c:pt>
                <c:pt idx="137">
                  <c:v>56907</c:v>
                </c:pt>
                <c:pt idx="138">
                  <c:v>17531</c:v>
                </c:pt>
                <c:pt idx="139">
                  <c:v>47051</c:v>
                </c:pt>
                <c:pt idx="140">
                  <c:v>17736</c:v>
                </c:pt>
                <c:pt idx="141">
                  <c:v>17710</c:v>
                </c:pt>
                <c:pt idx="142">
                  <c:v>11619</c:v>
                </c:pt>
                <c:pt idx="143">
                  <c:v>23975</c:v>
                </c:pt>
                <c:pt idx="144">
                  <c:v>55603</c:v>
                </c:pt>
                <c:pt idx="145">
                  <c:v>33252</c:v>
                </c:pt>
                <c:pt idx="146">
                  <c:v>25261</c:v>
                </c:pt>
                <c:pt idx="147">
                  <c:v>11431</c:v>
                </c:pt>
                <c:pt idx="148">
                  <c:v>19067</c:v>
                </c:pt>
                <c:pt idx="149">
                  <c:v>47481</c:v>
                </c:pt>
                <c:pt idx="150">
                  <c:v>37037</c:v>
                </c:pt>
                <c:pt idx="151">
                  <c:v>19557</c:v>
                </c:pt>
                <c:pt idx="152">
                  <c:v>19435</c:v>
                </c:pt>
                <c:pt idx="153">
                  <c:v>47766</c:v>
                </c:pt>
                <c:pt idx="154">
                  <c:v>10162</c:v>
                </c:pt>
                <c:pt idx="155">
                  <c:v>44742</c:v>
                </c:pt>
                <c:pt idx="156">
                  <c:v>29675</c:v>
                </c:pt>
                <c:pt idx="157">
                  <c:v>18461</c:v>
                </c:pt>
                <c:pt idx="158">
                  <c:v>27015</c:v>
                </c:pt>
                <c:pt idx="159">
                  <c:v>42591</c:v>
                </c:pt>
                <c:pt idx="160">
                  <c:v>38047</c:v>
                </c:pt>
                <c:pt idx="161">
                  <c:v>44782</c:v>
                </c:pt>
                <c:pt idx="162">
                  <c:v>19833</c:v>
                </c:pt>
                <c:pt idx="163">
                  <c:v>17896</c:v>
                </c:pt>
                <c:pt idx="164">
                  <c:v>42972</c:v>
                </c:pt>
                <c:pt idx="165">
                  <c:v>59733</c:v>
                </c:pt>
                <c:pt idx="166">
                  <c:v>51800</c:v>
                </c:pt>
                <c:pt idx="167">
                  <c:v>40508</c:v>
                </c:pt>
                <c:pt idx="168">
                  <c:v>15347</c:v>
                </c:pt>
                <c:pt idx="169">
                  <c:v>40314</c:v>
                </c:pt>
                <c:pt idx="170">
                  <c:v>12643</c:v>
                </c:pt>
                <c:pt idx="171">
                  <c:v>50785</c:v>
                </c:pt>
                <c:pt idx="172">
                  <c:v>28681</c:v>
                </c:pt>
                <c:pt idx="173">
                  <c:v>48328</c:v>
                </c:pt>
                <c:pt idx="174">
                  <c:v>25892</c:v>
                </c:pt>
                <c:pt idx="175">
                  <c:v>57299</c:v>
                </c:pt>
                <c:pt idx="176">
                  <c:v>27073</c:v>
                </c:pt>
                <c:pt idx="177">
                  <c:v>46768</c:v>
                </c:pt>
                <c:pt idx="178">
                  <c:v>40682</c:v>
                </c:pt>
                <c:pt idx="179">
                  <c:v>42262</c:v>
                </c:pt>
                <c:pt idx="180">
                  <c:v>41358</c:v>
                </c:pt>
                <c:pt idx="181">
                  <c:v>24289</c:v>
                </c:pt>
                <c:pt idx="182">
                  <c:v>59823</c:v>
                </c:pt>
                <c:pt idx="183">
                  <c:v>17927</c:v>
                </c:pt>
                <c:pt idx="184">
                  <c:v>58330</c:v>
                </c:pt>
                <c:pt idx="185">
                  <c:v>11171</c:v>
                </c:pt>
                <c:pt idx="186">
                  <c:v>21918</c:v>
                </c:pt>
                <c:pt idx="187">
                  <c:v>51903</c:v>
                </c:pt>
                <c:pt idx="188">
                  <c:v>49110</c:v>
                </c:pt>
                <c:pt idx="189">
                  <c:v>21929</c:v>
                </c:pt>
                <c:pt idx="190">
                  <c:v>12539</c:v>
                </c:pt>
                <c:pt idx="191">
                  <c:v>46727</c:v>
                </c:pt>
                <c:pt idx="192">
                  <c:v>55951</c:v>
                </c:pt>
                <c:pt idx="193">
                  <c:v>32669</c:v>
                </c:pt>
                <c:pt idx="194">
                  <c:v>15432</c:v>
                </c:pt>
                <c:pt idx="195">
                  <c:v>30644</c:v>
                </c:pt>
                <c:pt idx="196">
                  <c:v>28745</c:v>
                </c:pt>
                <c:pt idx="197">
                  <c:v>38228</c:v>
                </c:pt>
                <c:pt idx="198">
                  <c:v>44521</c:v>
                </c:pt>
                <c:pt idx="199">
                  <c:v>41703</c:v>
                </c:pt>
              </c:numCache>
            </c:numRef>
          </c:xVal>
          <c:yVal>
            <c:numRef>
              <c:f>'ENGAGEMENT SUMMARY'!$I$2:$I$201</c:f>
              <c:numCache>
                <c:formatCode>0</c:formatCode>
                <c:ptCount val="200"/>
                <c:pt idx="0">
                  <c:v>3777</c:v>
                </c:pt>
                <c:pt idx="1">
                  <c:v>7432</c:v>
                </c:pt>
                <c:pt idx="2">
                  <c:v>8123</c:v>
                </c:pt>
                <c:pt idx="3">
                  <c:v>7871</c:v>
                </c:pt>
                <c:pt idx="4">
                  <c:v>7215</c:v>
                </c:pt>
                <c:pt idx="5">
                  <c:v>7478</c:v>
                </c:pt>
                <c:pt idx="6">
                  <c:v>4934</c:v>
                </c:pt>
                <c:pt idx="7">
                  <c:v>3435</c:v>
                </c:pt>
                <c:pt idx="8">
                  <c:v>7452</c:v>
                </c:pt>
                <c:pt idx="9">
                  <c:v>6073</c:v>
                </c:pt>
                <c:pt idx="10">
                  <c:v>6728</c:v>
                </c:pt>
                <c:pt idx="11">
                  <c:v>5678</c:v>
                </c:pt>
                <c:pt idx="12">
                  <c:v>8654</c:v>
                </c:pt>
                <c:pt idx="13">
                  <c:v>4885</c:v>
                </c:pt>
                <c:pt idx="14">
                  <c:v>8653</c:v>
                </c:pt>
                <c:pt idx="15">
                  <c:v>6430</c:v>
                </c:pt>
                <c:pt idx="16">
                  <c:v>5442</c:v>
                </c:pt>
                <c:pt idx="17">
                  <c:v>8463</c:v>
                </c:pt>
                <c:pt idx="18">
                  <c:v>3202</c:v>
                </c:pt>
                <c:pt idx="19">
                  <c:v>2726</c:v>
                </c:pt>
                <c:pt idx="20">
                  <c:v>7151</c:v>
                </c:pt>
                <c:pt idx="21">
                  <c:v>1918</c:v>
                </c:pt>
                <c:pt idx="22">
                  <c:v>6236</c:v>
                </c:pt>
                <c:pt idx="23">
                  <c:v>3224</c:v>
                </c:pt>
                <c:pt idx="24">
                  <c:v>3586</c:v>
                </c:pt>
                <c:pt idx="25">
                  <c:v>7092</c:v>
                </c:pt>
                <c:pt idx="26">
                  <c:v>1826</c:v>
                </c:pt>
                <c:pt idx="27">
                  <c:v>1381</c:v>
                </c:pt>
                <c:pt idx="28">
                  <c:v>7429</c:v>
                </c:pt>
                <c:pt idx="29">
                  <c:v>7733</c:v>
                </c:pt>
                <c:pt idx="30">
                  <c:v>7974</c:v>
                </c:pt>
                <c:pt idx="31">
                  <c:v>9082</c:v>
                </c:pt>
                <c:pt idx="32">
                  <c:v>1741</c:v>
                </c:pt>
                <c:pt idx="33">
                  <c:v>5796</c:v>
                </c:pt>
                <c:pt idx="34">
                  <c:v>3445</c:v>
                </c:pt>
                <c:pt idx="35">
                  <c:v>6039</c:v>
                </c:pt>
                <c:pt idx="36">
                  <c:v>3213</c:v>
                </c:pt>
                <c:pt idx="37">
                  <c:v>3497</c:v>
                </c:pt>
                <c:pt idx="38">
                  <c:v>2543</c:v>
                </c:pt>
                <c:pt idx="39">
                  <c:v>4847</c:v>
                </c:pt>
                <c:pt idx="40">
                  <c:v>5795</c:v>
                </c:pt>
                <c:pt idx="41">
                  <c:v>6853</c:v>
                </c:pt>
                <c:pt idx="42">
                  <c:v>7033</c:v>
                </c:pt>
                <c:pt idx="43">
                  <c:v>7005</c:v>
                </c:pt>
                <c:pt idx="44">
                  <c:v>6920</c:v>
                </c:pt>
                <c:pt idx="45">
                  <c:v>5071</c:v>
                </c:pt>
                <c:pt idx="46">
                  <c:v>6915</c:v>
                </c:pt>
                <c:pt idx="47">
                  <c:v>4356</c:v>
                </c:pt>
                <c:pt idx="48">
                  <c:v>1513</c:v>
                </c:pt>
                <c:pt idx="49">
                  <c:v>5753</c:v>
                </c:pt>
                <c:pt idx="50">
                  <c:v>8231</c:v>
                </c:pt>
                <c:pt idx="51">
                  <c:v>5303</c:v>
                </c:pt>
                <c:pt idx="52">
                  <c:v>5520</c:v>
                </c:pt>
                <c:pt idx="53">
                  <c:v>1876</c:v>
                </c:pt>
                <c:pt idx="54">
                  <c:v>6593</c:v>
                </c:pt>
                <c:pt idx="55">
                  <c:v>8228</c:v>
                </c:pt>
                <c:pt idx="56">
                  <c:v>7442</c:v>
                </c:pt>
                <c:pt idx="57">
                  <c:v>9118</c:v>
                </c:pt>
                <c:pt idx="58">
                  <c:v>2495</c:v>
                </c:pt>
                <c:pt idx="59">
                  <c:v>6121</c:v>
                </c:pt>
                <c:pt idx="60">
                  <c:v>7224</c:v>
                </c:pt>
                <c:pt idx="61">
                  <c:v>2199</c:v>
                </c:pt>
                <c:pt idx="62">
                  <c:v>2084</c:v>
                </c:pt>
                <c:pt idx="63">
                  <c:v>3925</c:v>
                </c:pt>
                <c:pt idx="64">
                  <c:v>1309</c:v>
                </c:pt>
                <c:pt idx="65">
                  <c:v>4942</c:v>
                </c:pt>
                <c:pt idx="66">
                  <c:v>4027</c:v>
                </c:pt>
                <c:pt idx="67">
                  <c:v>7704</c:v>
                </c:pt>
                <c:pt idx="68">
                  <c:v>8361</c:v>
                </c:pt>
                <c:pt idx="69">
                  <c:v>5698</c:v>
                </c:pt>
                <c:pt idx="70">
                  <c:v>1543</c:v>
                </c:pt>
                <c:pt idx="71">
                  <c:v>2832</c:v>
                </c:pt>
                <c:pt idx="72">
                  <c:v>2421</c:v>
                </c:pt>
                <c:pt idx="73">
                  <c:v>6201</c:v>
                </c:pt>
                <c:pt idx="74">
                  <c:v>4147</c:v>
                </c:pt>
                <c:pt idx="75">
                  <c:v>4808</c:v>
                </c:pt>
                <c:pt idx="76">
                  <c:v>7767</c:v>
                </c:pt>
                <c:pt idx="77">
                  <c:v>7115</c:v>
                </c:pt>
                <c:pt idx="78">
                  <c:v>3011</c:v>
                </c:pt>
                <c:pt idx="79">
                  <c:v>5478</c:v>
                </c:pt>
                <c:pt idx="80">
                  <c:v>7565</c:v>
                </c:pt>
                <c:pt idx="81">
                  <c:v>6918</c:v>
                </c:pt>
                <c:pt idx="82">
                  <c:v>7921</c:v>
                </c:pt>
                <c:pt idx="83">
                  <c:v>8487</c:v>
                </c:pt>
                <c:pt idx="84">
                  <c:v>6439</c:v>
                </c:pt>
                <c:pt idx="85">
                  <c:v>6003</c:v>
                </c:pt>
                <c:pt idx="86">
                  <c:v>6452</c:v>
                </c:pt>
                <c:pt idx="87">
                  <c:v>8360</c:v>
                </c:pt>
                <c:pt idx="88">
                  <c:v>7218</c:v>
                </c:pt>
                <c:pt idx="89">
                  <c:v>3056</c:v>
                </c:pt>
                <c:pt idx="90">
                  <c:v>4942</c:v>
                </c:pt>
                <c:pt idx="91">
                  <c:v>1469</c:v>
                </c:pt>
                <c:pt idx="92">
                  <c:v>1017</c:v>
                </c:pt>
                <c:pt idx="93">
                  <c:v>8632</c:v>
                </c:pt>
                <c:pt idx="94">
                  <c:v>4882</c:v>
                </c:pt>
                <c:pt idx="95">
                  <c:v>5220</c:v>
                </c:pt>
                <c:pt idx="96">
                  <c:v>5206</c:v>
                </c:pt>
                <c:pt idx="97">
                  <c:v>6384</c:v>
                </c:pt>
                <c:pt idx="98">
                  <c:v>3179</c:v>
                </c:pt>
                <c:pt idx="99">
                  <c:v>6469</c:v>
                </c:pt>
                <c:pt idx="100">
                  <c:v>8485</c:v>
                </c:pt>
                <c:pt idx="101">
                  <c:v>6052</c:v>
                </c:pt>
                <c:pt idx="102">
                  <c:v>8945</c:v>
                </c:pt>
                <c:pt idx="103">
                  <c:v>5143</c:v>
                </c:pt>
                <c:pt idx="104">
                  <c:v>1369</c:v>
                </c:pt>
                <c:pt idx="105">
                  <c:v>5402</c:v>
                </c:pt>
                <c:pt idx="106">
                  <c:v>7630</c:v>
                </c:pt>
                <c:pt idx="107">
                  <c:v>3929</c:v>
                </c:pt>
                <c:pt idx="108">
                  <c:v>6642</c:v>
                </c:pt>
                <c:pt idx="109">
                  <c:v>3461</c:v>
                </c:pt>
                <c:pt idx="110">
                  <c:v>4790</c:v>
                </c:pt>
                <c:pt idx="111">
                  <c:v>949</c:v>
                </c:pt>
                <c:pt idx="112">
                  <c:v>3592</c:v>
                </c:pt>
                <c:pt idx="113">
                  <c:v>1210</c:v>
                </c:pt>
                <c:pt idx="114">
                  <c:v>8527</c:v>
                </c:pt>
                <c:pt idx="115">
                  <c:v>6275</c:v>
                </c:pt>
                <c:pt idx="116">
                  <c:v>1367</c:v>
                </c:pt>
                <c:pt idx="117">
                  <c:v>4314</c:v>
                </c:pt>
                <c:pt idx="118">
                  <c:v>6174</c:v>
                </c:pt>
                <c:pt idx="119">
                  <c:v>7328</c:v>
                </c:pt>
                <c:pt idx="120">
                  <c:v>8200</c:v>
                </c:pt>
                <c:pt idx="121">
                  <c:v>4214</c:v>
                </c:pt>
                <c:pt idx="122">
                  <c:v>8377</c:v>
                </c:pt>
                <c:pt idx="123">
                  <c:v>3079</c:v>
                </c:pt>
                <c:pt idx="124">
                  <c:v>9254</c:v>
                </c:pt>
                <c:pt idx="125">
                  <c:v>7668</c:v>
                </c:pt>
                <c:pt idx="126">
                  <c:v>8601</c:v>
                </c:pt>
                <c:pt idx="127">
                  <c:v>1534</c:v>
                </c:pt>
                <c:pt idx="128">
                  <c:v>7471</c:v>
                </c:pt>
                <c:pt idx="129">
                  <c:v>2919</c:v>
                </c:pt>
                <c:pt idx="130">
                  <c:v>7346</c:v>
                </c:pt>
                <c:pt idx="131">
                  <c:v>1001</c:v>
                </c:pt>
                <c:pt idx="132">
                  <c:v>8518</c:v>
                </c:pt>
                <c:pt idx="133">
                  <c:v>7421</c:v>
                </c:pt>
                <c:pt idx="134">
                  <c:v>4216</c:v>
                </c:pt>
                <c:pt idx="135">
                  <c:v>7654</c:v>
                </c:pt>
                <c:pt idx="136">
                  <c:v>7260</c:v>
                </c:pt>
                <c:pt idx="137">
                  <c:v>6361</c:v>
                </c:pt>
                <c:pt idx="138">
                  <c:v>5428</c:v>
                </c:pt>
                <c:pt idx="139">
                  <c:v>3643</c:v>
                </c:pt>
                <c:pt idx="140">
                  <c:v>3805</c:v>
                </c:pt>
                <c:pt idx="141">
                  <c:v>8128</c:v>
                </c:pt>
                <c:pt idx="142">
                  <c:v>8642</c:v>
                </c:pt>
                <c:pt idx="143">
                  <c:v>7958</c:v>
                </c:pt>
                <c:pt idx="144">
                  <c:v>3420</c:v>
                </c:pt>
                <c:pt idx="145">
                  <c:v>2525</c:v>
                </c:pt>
                <c:pt idx="146">
                  <c:v>1020</c:v>
                </c:pt>
                <c:pt idx="147">
                  <c:v>6677</c:v>
                </c:pt>
                <c:pt idx="148">
                  <c:v>1290</c:v>
                </c:pt>
                <c:pt idx="149">
                  <c:v>5101</c:v>
                </c:pt>
                <c:pt idx="150">
                  <c:v>5439</c:v>
                </c:pt>
                <c:pt idx="151">
                  <c:v>6029</c:v>
                </c:pt>
                <c:pt idx="152">
                  <c:v>9125</c:v>
                </c:pt>
                <c:pt idx="153">
                  <c:v>8979</c:v>
                </c:pt>
                <c:pt idx="154">
                  <c:v>6380</c:v>
                </c:pt>
                <c:pt idx="155">
                  <c:v>5962</c:v>
                </c:pt>
                <c:pt idx="156">
                  <c:v>6631</c:v>
                </c:pt>
                <c:pt idx="157">
                  <c:v>7432</c:v>
                </c:pt>
                <c:pt idx="158">
                  <c:v>2081</c:v>
                </c:pt>
                <c:pt idx="159">
                  <c:v>4245</c:v>
                </c:pt>
                <c:pt idx="160">
                  <c:v>8723</c:v>
                </c:pt>
                <c:pt idx="161">
                  <c:v>2994</c:v>
                </c:pt>
                <c:pt idx="162">
                  <c:v>3555</c:v>
                </c:pt>
                <c:pt idx="163">
                  <c:v>2535</c:v>
                </c:pt>
                <c:pt idx="164">
                  <c:v>7509</c:v>
                </c:pt>
                <c:pt idx="165">
                  <c:v>8292</c:v>
                </c:pt>
                <c:pt idx="166">
                  <c:v>4852</c:v>
                </c:pt>
                <c:pt idx="167">
                  <c:v>7367</c:v>
                </c:pt>
                <c:pt idx="168">
                  <c:v>9044</c:v>
                </c:pt>
                <c:pt idx="169">
                  <c:v>2848</c:v>
                </c:pt>
                <c:pt idx="170">
                  <c:v>4189</c:v>
                </c:pt>
                <c:pt idx="171">
                  <c:v>9335</c:v>
                </c:pt>
                <c:pt idx="172">
                  <c:v>6272</c:v>
                </c:pt>
                <c:pt idx="173">
                  <c:v>6128</c:v>
                </c:pt>
                <c:pt idx="174">
                  <c:v>1567</c:v>
                </c:pt>
                <c:pt idx="175">
                  <c:v>1660</c:v>
                </c:pt>
                <c:pt idx="176">
                  <c:v>6434</c:v>
                </c:pt>
                <c:pt idx="177">
                  <c:v>4542</c:v>
                </c:pt>
                <c:pt idx="178">
                  <c:v>8319</c:v>
                </c:pt>
                <c:pt idx="179">
                  <c:v>1425</c:v>
                </c:pt>
                <c:pt idx="180">
                  <c:v>7849</c:v>
                </c:pt>
                <c:pt idx="181">
                  <c:v>6368</c:v>
                </c:pt>
                <c:pt idx="182">
                  <c:v>4788</c:v>
                </c:pt>
                <c:pt idx="183">
                  <c:v>5990</c:v>
                </c:pt>
                <c:pt idx="184">
                  <c:v>5491</c:v>
                </c:pt>
                <c:pt idx="185">
                  <c:v>6425</c:v>
                </c:pt>
                <c:pt idx="186">
                  <c:v>7058</c:v>
                </c:pt>
                <c:pt idx="187">
                  <c:v>3096</c:v>
                </c:pt>
                <c:pt idx="188">
                  <c:v>1512</c:v>
                </c:pt>
                <c:pt idx="189">
                  <c:v>2926</c:v>
                </c:pt>
                <c:pt idx="190">
                  <c:v>7555</c:v>
                </c:pt>
                <c:pt idx="191">
                  <c:v>5456</c:v>
                </c:pt>
                <c:pt idx="192">
                  <c:v>893</c:v>
                </c:pt>
                <c:pt idx="193">
                  <c:v>5210</c:v>
                </c:pt>
                <c:pt idx="194">
                  <c:v>2067</c:v>
                </c:pt>
                <c:pt idx="195">
                  <c:v>7959</c:v>
                </c:pt>
                <c:pt idx="196">
                  <c:v>2805</c:v>
                </c:pt>
                <c:pt idx="197">
                  <c:v>7025</c:v>
                </c:pt>
                <c:pt idx="198">
                  <c:v>1121</c:v>
                </c:pt>
                <c:pt idx="199">
                  <c:v>7436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C9-4514-BCD8-A1F955209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640960"/>
        <c:axId val="924638560"/>
      </c:scatterChart>
      <c:valAx>
        <c:axId val="92464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38560"/>
        <c:crosses val="autoZero"/>
        <c:crossBetween val="midCat"/>
      </c:valAx>
      <c:valAx>
        <c:axId val="9246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4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19</xdr:row>
      <xdr:rowOff>68580</xdr:rowOff>
    </xdr:from>
    <xdr:to>
      <xdr:col>15</xdr:col>
      <xdr:colOff>342900</xdr:colOff>
      <xdr:row>34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3A6D6-3C54-3931-44A5-3850EC76C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289560</xdr:colOff>
      <xdr:row>0</xdr:row>
      <xdr:rowOff>7620</xdr:rowOff>
    </xdr:from>
    <xdr:to>
      <xdr:col>15</xdr:col>
      <xdr:colOff>99060</xdr:colOff>
      <xdr:row>2</xdr:row>
      <xdr:rowOff>106680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50BE0D6-1000-155A-3F9D-C274A737FE86}"/>
            </a:ext>
          </a:extLst>
        </xdr:cNvPr>
        <xdr:cNvSpPr/>
      </xdr:nvSpPr>
      <xdr:spPr>
        <a:xfrm>
          <a:off x="3131820" y="7620"/>
          <a:ext cx="7094220" cy="464820"/>
        </a:xfrm>
        <a:prstGeom prst="roundRect">
          <a:avLst>
            <a:gd name="adj" fmla="val 50000"/>
          </a:avLst>
        </a:prstGeom>
        <a:solidFill>
          <a:srgbClr val="00B0F0"/>
        </a:solidFill>
        <a:scene3d>
          <a:camera prst="orthographicFront"/>
          <a:lightRig rig="threePt" dir="t"/>
        </a:scene3d>
        <a:sp3d>
          <a:bevelT prst="relaxedInset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          </a:t>
          </a:r>
          <a:r>
            <a:rPr lang="en-IN" sz="18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TASK_6.1: Visualize weekly follower growth per platform </a:t>
          </a:r>
          <a:endParaRPr lang="en-IN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716280</xdr:colOff>
      <xdr:row>21</xdr:row>
      <xdr:rowOff>129540</xdr:rowOff>
    </xdr:from>
    <xdr:to>
      <xdr:col>9</xdr:col>
      <xdr:colOff>327660</xdr:colOff>
      <xdr:row>36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DB9BAD-A935-32E5-F348-239D2F246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1607820</xdr:colOff>
      <xdr:row>0</xdr:row>
      <xdr:rowOff>60960</xdr:rowOff>
    </xdr:from>
    <xdr:to>
      <xdr:col>9</xdr:col>
      <xdr:colOff>274320</xdr:colOff>
      <xdr:row>2</xdr:row>
      <xdr:rowOff>137160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A665213-0B12-004F-D0F0-C2C9F3B98407}"/>
            </a:ext>
          </a:extLst>
        </xdr:cNvPr>
        <xdr:cNvSpPr/>
      </xdr:nvSpPr>
      <xdr:spPr>
        <a:xfrm>
          <a:off x="2468880" y="60960"/>
          <a:ext cx="5692140" cy="441960"/>
        </a:xfrm>
        <a:prstGeom prst="roundRect">
          <a:avLst>
            <a:gd name="adj" fmla="val 50000"/>
          </a:avLst>
        </a:prstGeom>
        <a:solidFill>
          <a:srgbClr val="00B0F0"/>
        </a:solidFill>
        <a:scene3d>
          <a:camera prst="orthographicFront"/>
          <a:lightRig rig="threePt" dir="t"/>
        </a:scene3d>
        <a:sp3d>
          <a:bevelT w="139700" prst="cross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TASK_6.2:Identify the peak week of follower gain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8</xdr:row>
      <xdr:rowOff>11430</xdr:rowOff>
    </xdr:from>
    <xdr:to>
      <xdr:col>12</xdr:col>
      <xdr:colOff>464820</xdr:colOff>
      <xdr:row>23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63CD17-B742-7F06-A53B-C95BC1C02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1653540</xdr:colOff>
      <xdr:row>0</xdr:row>
      <xdr:rowOff>0</xdr:rowOff>
    </xdr:from>
    <xdr:to>
      <xdr:col>14</xdr:col>
      <xdr:colOff>388620</xdr:colOff>
      <xdr:row>2</xdr:row>
      <xdr:rowOff>99060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5BDBD5B-E450-47ED-8157-1B39B0E7E3F5}"/>
            </a:ext>
          </a:extLst>
        </xdr:cNvPr>
        <xdr:cNvSpPr/>
      </xdr:nvSpPr>
      <xdr:spPr>
        <a:xfrm>
          <a:off x="3939540" y="0"/>
          <a:ext cx="7574280" cy="464820"/>
        </a:xfrm>
        <a:prstGeom prst="roundRect">
          <a:avLst>
            <a:gd name="adj" fmla="val 50000"/>
          </a:avLst>
        </a:prstGeom>
        <a:solidFill>
          <a:srgbClr val="00B0F0"/>
        </a:solidFill>
        <a:scene3d>
          <a:camera prst="orthographicFront"/>
          <a:lightRig rig="threePt" dir="t"/>
        </a:scene3d>
        <a:sp3d>
          <a:bevelT prst="relaxedInset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          </a:t>
          </a:r>
          <a:r>
            <a:rPr lang="en-IN" sz="18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TASK_6.3:  MOVING AVERAGE TO SMOOTH GROWTH TREND</a:t>
          </a:r>
          <a:endParaRPr lang="en-IN" sz="18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487680</xdr:colOff>
      <xdr:row>9</xdr:row>
      <xdr:rowOff>64770</xdr:rowOff>
    </xdr:from>
    <xdr:to>
      <xdr:col>19</xdr:col>
      <xdr:colOff>182880</xdr:colOff>
      <xdr:row>24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624574-01DA-3BE7-8D26-79860244D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381000</xdr:colOff>
      <xdr:row>3</xdr:row>
      <xdr:rowOff>53339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8ADCE0-57E4-4C5E-9824-F9AEBA4D207E}"/>
            </a:ext>
          </a:extLst>
        </xdr:cNvPr>
        <xdr:cNvSpPr/>
      </xdr:nvSpPr>
      <xdr:spPr>
        <a:xfrm>
          <a:off x="0" y="0"/>
          <a:ext cx="17000220" cy="601979"/>
        </a:xfrm>
        <a:prstGeom prst="roundRect">
          <a:avLst>
            <a:gd name="adj" fmla="val 50000"/>
          </a:avLst>
        </a:prstGeom>
        <a:solidFill>
          <a:srgbClr val="CC0066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relaxedInset"/>
          <a:contourClr>
            <a:srgbClr val="FFFFFF"/>
          </a:contourClr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                                                                                                                                                                            </a:t>
          </a:r>
          <a:r>
            <a:rPr lang="en-IN" sz="2000" b="1"/>
            <a:t>TASK</a:t>
          </a:r>
          <a:r>
            <a:rPr lang="en-IN" sz="2000" b="1" baseline="0"/>
            <a:t> 6_DASHBOARD </a:t>
          </a:r>
          <a:r>
            <a:rPr lang="en-IN" sz="2000" b="1"/>
            <a:t>: Follower Retention &amp; Loyalty Analysis</a:t>
          </a:r>
        </a:p>
      </xdr:txBody>
    </xdr:sp>
    <xdr:clientData/>
  </xdr:twoCellAnchor>
  <xdr:twoCellAnchor>
    <xdr:from>
      <xdr:col>0</xdr:col>
      <xdr:colOff>0</xdr:colOff>
      <xdr:row>64</xdr:row>
      <xdr:rowOff>0</xdr:rowOff>
    </xdr:from>
    <xdr:to>
      <xdr:col>6</xdr:col>
      <xdr:colOff>175260</xdr:colOff>
      <xdr:row>79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ED5099-CA87-4CEF-952C-16012FBB0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64</xdr:row>
      <xdr:rowOff>0</xdr:rowOff>
    </xdr:from>
    <xdr:to>
      <xdr:col>9</xdr:col>
      <xdr:colOff>464820</xdr:colOff>
      <xdr:row>79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D9A1A2-05DA-435B-870B-147774197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64</xdr:row>
      <xdr:rowOff>0</xdr:rowOff>
    </xdr:from>
    <xdr:to>
      <xdr:col>14</xdr:col>
      <xdr:colOff>373380</xdr:colOff>
      <xdr:row>79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ACDCBA-9003-466C-B4E8-6BF213730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487680</xdr:colOff>
      <xdr:row>87</xdr:row>
      <xdr:rowOff>64770</xdr:rowOff>
    </xdr:from>
    <xdr:to>
      <xdr:col>8</xdr:col>
      <xdr:colOff>708660</xdr:colOff>
      <xdr:row>102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784834-CB2C-409E-B935-84F6793D2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82</xdr:row>
      <xdr:rowOff>152400</xdr:rowOff>
    </xdr:from>
    <xdr:to>
      <xdr:col>12</xdr:col>
      <xdr:colOff>739140</xdr:colOff>
      <xdr:row>85</xdr:row>
      <xdr:rowOff>83820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31549C9-57D6-4FD2-8061-A133DBDB9391}"/>
            </a:ext>
          </a:extLst>
        </xdr:cNvPr>
        <xdr:cNvSpPr/>
      </xdr:nvSpPr>
      <xdr:spPr>
        <a:xfrm>
          <a:off x="9966960" y="15148560"/>
          <a:ext cx="3246120" cy="480060"/>
        </a:xfrm>
        <a:prstGeom prst="roundRect">
          <a:avLst>
            <a:gd name="adj" fmla="val 50000"/>
          </a:avLst>
        </a:prstGeom>
        <a:effectLst/>
        <a:scene3d>
          <a:camera prst="orthographicFront"/>
          <a:lightRig rig="threePt" dir="t"/>
        </a:scene3d>
        <a:sp3d>
          <a:bevelT prst="relaxedInset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</a:t>
          </a:r>
          <a:r>
            <a:rPr lang="en-IN" sz="2400" b="1"/>
            <a:t>FINAL</a:t>
          </a:r>
          <a:r>
            <a:rPr lang="en-IN" sz="2400" b="1" baseline="0"/>
            <a:t> CONCLUSION</a:t>
          </a:r>
          <a:endParaRPr lang="en-IN" sz="2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kazh" refreshedDate="46135.527612384256" createdVersion="8" refreshedVersion="8" minRefreshableVersion="3" recordCount="200" xr:uid="{0930BC62-0EFB-4F0A-B50F-067DDEFF8FC6}">
  <cacheSource type="worksheet">
    <worksheetSource ref="A1:J201" sheet="ENGAGEMENT SUMMARY"/>
  </cacheSource>
  <cacheFields count="13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2"/>
    </cacheField>
    <cacheField name="Week_name" numFmtId="14">
      <sharedItems count="50">
        <s v="Week 23"/>
        <s v="Week 24"/>
        <s v="Week 25"/>
        <s v="Week 26"/>
        <s v="Week 27"/>
        <s v="Week 28"/>
        <s v="Week 29"/>
        <s v="Week 30"/>
        <s v="Week 31"/>
        <s v="Week 32"/>
        <s v="Week 33"/>
        <s v="Week 34"/>
        <s v="Week 35"/>
        <s v="Week 36"/>
        <s v="Week 37"/>
        <s v="Week 38"/>
        <s v="Week 39"/>
        <s v="Week 40"/>
        <s v="Week 41"/>
        <s v="Week 42"/>
        <s v="Week 43"/>
        <s v="Week 44"/>
        <s v="Week 45"/>
        <s v="Week 46"/>
        <s v="Week 47"/>
        <s v="Week 48"/>
        <s v="Week 49"/>
        <s v="Week 50"/>
        <s v="Week 51"/>
        <s v="Week 52"/>
        <s v="Week 53"/>
        <s v="Week 2"/>
        <s v="Week 3"/>
        <s v="Week 4"/>
        <s v="Week 5"/>
        <s v="Week 6"/>
        <s v="Week 7"/>
        <s v="Week 8"/>
        <s v="Week 9"/>
        <s v="Week 10"/>
        <s v="Week 11"/>
        <s v="Week 12"/>
        <s v="Week 13"/>
        <s v="Week 14"/>
        <s v="Week 15"/>
        <s v="Week 16"/>
        <s v="Week 17"/>
        <s v="Week 18"/>
        <s v="Week 19"/>
        <s v="Week 20"/>
      </sharedItems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1">
      <sharedItems containsSemiMixedTypes="0" containsString="0" containsNumber="1" containsInteger="1" minValue="1016" maxValue="9984"/>
    </cacheField>
    <cacheField name="Unfollows" numFmtId="1">
      <sharedItems containsSemiMixedTypes="0" containsString="0" containsNumber="1" containsInteger="1" minValue="67" maxValue="1417"/>
    </cacheField>
    <cacheField name="Total_Followers" numFmtId="1">
      <sharedItems containsSemiMixedTypes="0" containsString="0" containsNumber="1" containsInteger="1" minValue="103777" maxValue="1186398"/>
    </cacheField>
    <cacheField name="Engagement_Rate" numFmtId="10">
      <sharedItems containsSemiMixedTypes="0" containsString="0" containsNumber="1" minValue="1.381177897889402E-2" maxValue="0.92312204605638049"/>
    </cacheField>
    <cacheField name="Ad_Spend" numFmtId="164">
      <sharedItems containsSemiMixedTypes="0" containsString="0" containsNumber="1" containsInteger="1" minValue="10161" maxValue="59823"/>
    </cacheField>
    <cacheField name="Net_growth" numFmtId="1">
      <sharedItems containsSemiMixedTypes="0" containsString="0" containsNumber="1" containsInteger="1" minValue="893" maxValue="9335"/>
    </cacheField>
    <cacheField name="Growth_rate" numFmtId="10">
      <sharedItems containsSemiMixedTypes="0" containsString="0" containsNumber="1" minValue="7.7465246904209403E-4" maxValue="6.8070592967519189E-2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 pivotCacheId="95003872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kazh" refreshedDate="46135.712901620369" createdVersion="8" refreshedVersion="8" minRefreshableVersion="3" recordCount="200" xr:uid="{052E1A29-46BA-46DE-BD62-82B00A7785F5}">
  <cacheSource type="worksheet">
    <worksheetSource ref="A1:K201" sheet="ENGAGEMENT SUMMARY"/>
  </cacheSource>
  <cacheFields count="11">
    <cacheField name="Week_Start_Date" numFmtId="14">
      <sharedItems containsSemiMixedTypes="0" containsNonDate="0" containsDate="1" containsString="0" minDate="2024-06-03T00:00:00" maxDate="2025-05-13T00:00:00"/>
    </cacheField>
    <cacheField name="Weekname" numFmtId="14">
      <sharedItems count="50">
        <s v="Week 23"/>
        <s v="Week 24"/>
        <s v="Week 25"/>
        <s v="Week 26"/>
        <s v="Week 27"/>
        <s v="Week 28"/>
        <s v="Week 29"/>
        <s v="Week 30"/>
        <s v="Week 31"/>
        <s v="Week 32"/>
        <s v="Week 33"/>
        <s v="Week 34"/>
        <s v="Week 35"/>
        <s v="Week 36"/>
        <s v="Week 37"/>
        <s v="Week 38"/>
        <s v="Week 39"/>
        <s v="Week 40"/>
        <s v="Week 41"/>
        <s v="Week 42"/>
        <s v="Week 43"/>
        <s v="Week 44"/>
        <s v="Week 45"/>
        <s v="Week 46"/>
        <s v="Week 47"/>
        <s v="Week 48"/>
        <s v="Week 49"/>
        <s v="Week 50"/>
        <s v="Week 51"/>
        <s v="Week 52"/>
        <s v="Week 53"/>
        <s v="Week 2"/>
        <s v="Week 3"/>
        <s v="Week 4"/>
        <s v="Week 5"/>
        <s v="Week 6"/>
        <s v="Week 7"/>
        <s v="Week 8"/>
        <s v="Week 9"/>
        <s v="Week 10"/>
        <s v="Week 11"/>
        <s v="Week 12"/>
        <s v="Week 13"/>
        <s v="Week 14"/>
        <s v="Week 15"/>
        <s v="Week 16"/>
        <s v="Week 17"/>
        <s v="Week 18"/>
        <s v="Week 19"/>
        <s v="Week 20"/>
      </sharedItems>
    </cacheField>
    <cacheField name="Platform" numFmtId="0">
      <sharedItems/>
    </cacheField>
    <cacheField name="New_Followers" numFmtId="1">
      <sharedItems containsSemiMixedTypes="0" containsString="0" containsNumber="1" containsInteger="1" minValue="1016" maxValue="9984"/>
    </cacheField>
    <cacheField name="Unfollows" numFmtId="1">
      <sharedItems containsSemiMixedTypes="0" containsString="0" containsNumber="1" containsInteger="1" minValue="67" maxValue="1417"/>
    </cacheField>
    <cacheField name="Total_Followers" numFmtId="1">
      <sharedItems containsSemiMixedTypes="0" containsString="0" containsNumber="1" containsInteger="1" minValue="103777" maxValue="1186398"/>
    </cacheField>
    <cacheField name="Engagement_Rate" numFmtId="10">
      <sharedItems containsSemiMixedTypes="0" containsString="0" containsNumber="1" minValue="1.381177897889402E-2" maxValue="0.92312204605638049"/>
    </cacheField>
    <cacheField name="Ad_Spend" numFmtId="164">
      <sharedItems containsSemiMixedTypes="0" containsString="0" containsNumber="1" containsInteger="1" minValue="10161" maxValue="59823"/>
    </cacheField>
    <cacheField name="Net_growth" numFmtId="1">
      <sharedItems containsSemiMixedTypes="0" containsString="0" containsNumber="1" containsInteger="1" minValue="893" maxValue="9335"/>
    </cacheField>
    <cacheField name="Growth_rate" numFmtId="10">
      <sharedItems containsSemiMixedTypes="0" containsString="0" containsNumber="1" minValue="7.7465246904209403E-4" maxValue="6.8070592967519189E-2"/>
    </cacheField>
    <cacheField name="3-week moving average" numFmtId="1">
      <sharedItems containsSemiMixedTypes="0" containsString="0" containsNumber="1" minValue="1917" maxValue="8507.66666666666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4138"/>
    <n v="361"/>
    <n v="103777"/>
    <n v="0.5663779064725325"/>
    <n v="23944"/>
    <n v="3777"/>
    <n v="3.6395347716738774E-2"/>
  </r>
  <r>
    <x v="0"/>
    <x v="0"/>
    <x v="1"/>
    <n v="8693"/>
    <n v="1261"/>
    <n v="111209"/>
    <n v="0.69475492091467417"/>
    <n v="29873"/>
    <n v="7432"/>
    <n v="6.6829123542159363E-2"/>
  </r>
  <r>
    <x v="0"/>
    <x v="0"/>
    <x v="2"/>
    <n v="9264"/>
    <n v="1141"/>
    <n v="119332"/>
    <n v="0.92312204605638049"/>
    <n v="50372"/>
    <n v="8123"/>
    <n v="6.8070592967519189E-2"/>
  </r>
  <r>
    <x v="0"/>
    <x v="0"/>
    <x v="2"/>
    <n v="8842"/>
    <n v="971"/>
    <n v="127203"/>
    <n v="0.16351815601833292"/>
    <n v="33928"/>
    <n v="7871"/>
    <n v="6.1877471443283573E-2"/>
  </r>
  <r>
    <x v="1"/>
    <x v="1"/>
    <x v="0"/>
    <n v="7721"/>
    <n v="506"/>
    <n v="134418"/>
    <n v="0.35577824398518049"/>
    <n v="25379"/>
    <n v="7215"/>
    <n v="5.3675846984778827E-2"/>
  </r>
  <r>
    <x v="1"/>
    <x v="1"/>
    <x v="2"/>
    <n v="8002"/>
    <n v="524"/>
    <n v="141896"/>
    <n v="0.52064892597395274"/>
    <n v="46751"/>
    <n v="7478"/>
    <n v="5.270056943113266E-2"/>
  </r>
  <r>
    <x v="1"/>
    <x v="1"/>
    <x v="1"/>
    <n v="5225"/>
    <n v="291"/>
    <n v="146830"/>
    <n v="0.19551862698358652"/>
    <n v="44546"/>
    <n v="4934"/>
    <n v="3.3603487025812166E-2"/>
  </r>
  <r>
    <x v="1"/>
    <x v="1"/>
    <x v="1"/>
    <n v="3978"/>
    <n v="543"/>
    <n v="150265"/>
    <n v="0.4915981765547533"/>
    <n v="34286"/>
    <n v="3435"/>
    <n v="2.2859614680730708E-2"/>
  </r>
  <r>
    <x v="2"/>
    <x v="2"/>
    <x v="0"/>
    <n v="8373"/>
    <n v="921"/>
    <n v="157717"/>
    <n v="0.12226329438170901"/>
    <n v="15110"/>
    <n v="7452"/>
    <n v="4.7249186834646864E-2"/>
  </r>
  <r>
    <x v="2"/>
    <x v="2"/>
    <x v="1"/>
    <n v="6907"/>
    <n v="834"/>
    <n v="163790"/>
    <n v="0.54158984064961235"/>
    <n v="22087"/>
    <n v="6073"/>
    <n v="3.7077965687770928E-2"/>
  </r>
  <r>
    <x v="2"/>
    <x v="2"/>
    <x v="3"/>
    <n v="7097"/>
    <n v="369"/>
    <n v="170518"/>
    <n v="9.2506362964613717E-2"/>
    <n v="33762"/>
    <n v="6728"/>
    <n v="3.9456245088495059E-2"/>
  </r>
  <r>
    <x v="2"/>
    <x v="2"/>
    <x v="0"/>
    <n v="6656"/>
    <n v="978"/>
    <n v="176196"/>
    <n v="0.60425889350496043"/>
    <n v="27081"/>
    <n v="5678"/>
    <n v="3.2225476174260484E-2"/>
  </r>
  <r>
    <x v="3"/>
    <x v="3"/>
    <x v="1"/>
    <n v="9984"/>
    <n v="1330"/>
    <n v="184850"/>
    <n v="0.57524479307546661"/>
    <n v="44947"/>
    <n v="8654"/>
    <n v="4.6816337571003515E-2"/>
  </r>
  <r>
    <x v="3"/>
    <x v="3"/>
    <x v="0"/>
    <n v="5259"/>
    <n v="374"/>
    <n v="189735"/>
    <n v="0.14827522597306769"/>
    <n v="19596"/>
    <n v="4885"/>
    <n v="2.5746435818378266E-2"/>
  </r>
  <r>
    <x v="3"/>
    <x v="3"/>
    <x v="2"/>
    <n v="9286"/>
    <n v="633"/>
    <n v="198388"/>
    <n v="5.4343004617214759E-2"/>
    <n v="48019"/>
    <n v="8653"/>
    <n v="4.3616549388067825E-2"/>
  </r>
  <r>
    <x v="3"/>
    <x v="3"/>
    <x v="1"/>
    <n v="6901"/>
    <n v="471"/>
    <n v="204818"/>
    <n v="0.60827661631301944"/>
    <n v="52003"/>
    <n v="6430"/>
    <n v="3.1393725160874533E-2"/>
  </r>
  <r>
    <x v="4"/>
    <x v="4"/>
    <x v="3"/>
    <n v="5917"/>
    <n v="475"/>
    <n v="210260"/>
    <n v="0.17894035955483692"/>
    <n v="28313"/>
    <n v="5442"/>
    <n v="2.5882241034909159E-2"/>
  </r>
  <r>
    <x v="4"/>
    <x v="4"/>
    <x v="1"/>
    <n v="9429"/>
    <n v="966"/>
    <n v="218723"/>
    <n v="7.6914636320825888E-2"/>
    <n v="57639"/>
    <n v="8463"/>
    <n v="3.8692775794040866E-2"/>
  </r>
  <r>
    <x v="4"/>
    <x v="4"/>
    <x v="0"/>
    <n v="3530"/>
    <n v="328"/>
    <n v="221925"/>
    <n v="0.12837219781457698"/>
    <n v="11013"/>
    <n v="3202"/>
    <n v="1.4428297848372199E-2"/>
  </r>
  <r>
    <x v="4"/>
    <x v="4"/>
    <x v="0"/>
    <n v="2960"/>
    <n v="234"/>
    <n v="224651"/>
    <n v="0.17412786945083711"/>
    <n v="59378"/>
    <n v="2726"/>
    <n v="1.213437732304775E-2"/>
  </r>
  <r>
    <x v="5"/>
    <x v="5"/>
    <x v="1"/>
    <n v="8045"/>
    <n v="894"/>
    <n v="231802"/>
    <n v="0.47634187798207089"/>
    <n v="33705"/>
    <n v="7151"/>
    <n v="3.084960440375838E-2"/>
  </r>
  <r>
    <x v="5"/>
    <x v="5"/>
    <x v="3"/>
    <n v="2048"/>
    <n v="130"/>
    <n v="233720"/>
    <n v="0.39284614068115686"/>
    <n v="11828"/>
    <n v="1918"/>
    <n v="8.2064008214958063E-3"/>
  </r>
  <r>
    <x v="5"/>
    <x v="5"/>
    <x v="3"/>
    <n v="6772"/>
    <n v="536"/>
    <n v="239956"/>
    <n v="9.8205504342462793E-2"/>
    <n v="17909"/>
    <n v="6236"/>
    <n v="2.5988097817933289E-2"/>
  </r>
  <r>
    <x v="5"/>
    <x v="5"/>
    <x v="3"/>
    <n v="3529"/>
    <n v="305"/>
    <n v="243180"/>
    <n v="0.41606628834608111"/>
    <n v="48356"/>
    <n v="3224"/>
    <n v="1.3257669216218439E-2"/>
  </r>
  <r>
    <x v="6"/>
    <x v="6"/>
    <x v="0"/>
    <n v="3964"/>
    <n v="378"/>
    <n v="246766"/>
    <n v="0.136355899921383"/>
    <n v="23109"/>
    <n v="3586"/>
    <n v="1.453198576789347E-2"/>
  </r>
  <r>
    <x v="6"/>
    <x v="6"/>
    <x v="1"/>
    <n v="8137"/>
    <n v="1045"/>
    <n v="253858"/>
    <n v="0.2047246886054408"/>
    <n v="12023"/>
    <n v="7092"/>
    <n v="2.7936878097203948E-2"/>
  </r>
  <r>
    <x v="6"/>
    <x v="6"/>
    <x v="2"/>
    <n v="1963"/>
    <n v="137"/>
    <n v="255684"/>
    <n v="0.112083665774941"/>
    <n v="24537"/>
    <n v="1826"/>
    <n v="7.1416279469970747E-3"/>
  </r>
  <r>
    <x v="6"/>
    <x v="6"/>
    <x v="0"/>
    <n v="1536"/>
    <n v="155"/>
    <n v="257065"/>
    <n v="0.12157625503277381"/>
    <n v="36661"/>
    <n v="1381"/>
    <n v="5.3721821329235798E-3"/>
  </r>
  <r>
    <x v="7"/>
    <x v="7"/>
    <x v="3"/>
    <n v="8340"/>
    <n v="911"/>
    <n v="264494"/>
    <n v="0.37302925586213681"/>
    <n v="48659"/>
    <n v="7429"/>
    <n v="2.8087593669421613E-2"/>
  </r>
  <r>
    <x v="7"/>
    <x v="7"/>
    <x v="1"/>
    <n v="8179"/>
    <n v="446"/>
    <n v="272227"/>
    <n v="0.41821714965818968"/>
    <n v="43848"/>
    <n v="7733"/>
    <n v="2.8406440213498294E-2"/>
  </r>
  <r>
    <x v="7"/>
    <x v="7"/>
    <x v="3"/>
    <n v="8967"/>
    <n v="993"/>
    <n v="280201"/>
    <n v="0.52792102811910024"/>
    <n v="47804"/>
    <n v="7974"/>
    <n v="2.8458142547671136E-2"/>
  </r>
  <r>
    <x v="7"/>
    <x v="7"/>
    <x v="2"/>
    <n v="9734"/>
    <n v="652"/>
    <n v="289283"/>
    <n v="0.49647922622483859"/>
    <n v="25379"/>
    <n v="9082"/>
    <n v="3.1394862470314533E-2"/>
  </r>
  <r>
    <x v="8"/>
    <x v="8"/>
    <x v="3"/>
    <n v="1845"/>
    <n v="104"/>
    <n v="291024"/>
    <n v="0.28158158777282971"/>
    <n v="37766"/>
    <n v="1741"/>
    <n v="5.9823244818296775E-3"/>
  </r>
  <r>
    <x v="8"/>
    <x v="8"/>
    <x v="3"/>
    <n v="6777"/>
    <n v="981"/>
    <n v="296820"/>
    <n v="0.239205579138872"/>
    <n v="53590"/>
    <n v="5796"/>
    <n v="1.952698605215282E-2"/>
  </r>
  <r>
    <x v="8"/>
    <x v="8"/>
    <x v="2"/>
    <n v="4036"/>
    <n v="591"/>
    <n v="300265"/>
    <n v="0.44219272975538265"/>
    <n v="12563"/>
    <n v="3445"/>
    <n v="1.1473198674504187E-2"/>
  </r>
  <r>
    <x v="8"/>
    <x v="8"/>
    <x v="1"/>
    <n v="6947"/>
    <n v="908"/>
    <n v="306304"/>
    <n v="0.14117673944839121"/>
    <n v="46060"/>
    <n v="6039"/>
    <n v="1.9715707271207691E-2"/>
  </r>
  <r>
    <x v="9"/>
    <x v="9"/>
    <x v="0"/>
    <n v="3494"/>
    <n v="281"/>
    <n v="309517"/>
    <n v="0.27765518533715428"/>
    <n v="39197"/>
    <n v="3213"/>
    <n v="1.0380689913639638E-2"/>
  </r>
  <r>
    <x v="9"/>
    <x v="9"/>
    <x v="1"/>
    <n v="3719"/>
    <n v="222"/>
    <n v="313014"/>
    <n v="0.2166931830525152"/>
    <n v="13586"/>
    <n v="3497"/>
    <n v="1.1172024254506188E-2"/>
  </r>
  <r>
    <x v="9"/>
    <x v="9"/>
    <x v="2"/>
    <n v="2884"/>
    <n v="341"/>
    <n v="315557"/>
    <n v="0.46999749649033296"/>
    <n v="26087"/>
    <n v="2543"/>
    <n v="8.058765928184131E-3"/>
  </r>
  <r>
    <x v="9"/>
    <x v="9"/>
    <x v="3"/>
    <n v="5349"/>
    <n v="502"/>
    <n v="320404"/>
    <n v="5.2152906954969352E-2"/>
    <n v="58868"/>
    <n v="4847"/>
    <n v="1.5127776182569505E-2"/>
  </r>
  <r>
    <x v="10"/>
    <x v="10"/>
    <x v="1"/>
    <n v="6179"/>
    <n v="384"/>
    <n v="326199"/>
    <n v="0.14712184893270672"/>
    <n v="33225"/>
    <n v="5795"/>
    <n v="1.7765229200580015E-2"/>
  </r>
  <r>
    <x v="10"/>
    <x v="10"/>
    <x v="0"/>
    <n v="7610"/>
    <n v="757"/>
    <n v="333052"/>
    <n v="0.44450416151231642"/>
    <n v="39750"/>
    <n v="6853"/>
    <n v="2.0576366453286574E-2"/>
  </r>
  <r>
    <x v="10"/>
    <x v="10"/>
    <x v="2"/>
    <n v="7430"/>
    <n v="397"/>
    <n v="340085"/>
    <n v="0.28065042562888687"/>
    <n v="16643"/>
    <n v="7033"/>
    <n v="2.0680124086625402E-2"/>
  </r>
  <r>
    <x v="10"/>
    <x v="10"/>
    <x v="1"/>
    <n v="8154"/>
    <n v="1149"/>
    <n v="347090"/>
    <n v="0.26003918292085632"/>
    <n v="37523"/>
    <n v="7005"/>
    <n v="2.0182085338096747E-2"/>
  </r>
  <r>
    <x v="11"/>
    <x v="11"/>
    <x v="0"/>
    <n v="7488"/>
    <n v="568"/>
    <n v="354010"/>
    <n v="0.13477302901047991"/>
    <n v="46727"/>
    <n v="6920"/>
    <n v="1.9547470410440384E-2"/>
  </r>
  <r>
    <x v="11"/>
    <x v="11"/>
    <x v="2"/>
    <n v="5737"/>
    <n v="666"/>
    <n v="359081"/>
    <n v="4.6034181702735592E-2"/>
    <n v="21005"/>
    <n v="5071"/>
    <n v="1.4122161852061233E-2"/>
  </r>
  <r>
    <x v="11"/>
    <x v="11"/>
    <x v="0"/>
    <n v="7525"/>
    <n v="610"/>
    <n v="365996"/>
    <n v="5.7694619613329105E-2"/>
    <n v="53543"/>
    <n v="6915"/>
    <n v="1.8893649110919244E-2"/>
  </r>
  <r>
    <x v="11"/>
    <x v="11"/>
    <x v="2"/>
    <n v="4850"/>
    <n v="494"/>
    <n v="370352"/>
    <n v="0.2046539508359615"/>
    <n v="10161"/>
    <n v="4356"/>
    <n v="1.176178338445587E-2"/>
  </r>
  <r>
    <x v="12"/>
    <x v="12"/>
    <x v="3"/>
    <n v="1689"/>
    <n v="176"/>
    <n v="371865"/>
    <n v="0.3801218184018394"/>
    <n v="26029"/>
    <n v="1513"/>
    <n v="4.068680838476329E-3"/>
  </r>
  <r>
    <x v="12"/>
    <x v="12"/>
    <x v="1"/>
    <n v="6175"/>
    <n v="422"/>
    <n v="377618"/>
    <n v="0.3786101298137271"/>
    <n v="59745"/>
    <n v="5753"/>
    <n v="1.523497290913039E-2"/>
  </r>
  <r>
    <x v="12"/>
    <x v="12"/>
    <x v="0"/>
    <n v="9648"/>
    <n v="1417"/>
    <n v="385849"/>
    <n v="3.6633501706626166E-2"/>
    <n v="24226"/>
    <n v="8231"/>
    <n v="2.1332179168534842E-2"/>
  </r>
  <r>
    <x v="12"/>
    <x v="12"/>
    <x v="2"/>
    <n v="6078"/>
    <n v="775"/>
    <n v="391152"/>
    <n v="0.37760512537325641"/>
    <n v="38731"/>
    <n v="5303"/>
    <n v="1.3557389454738823E-2"/>
  </r>
  <r>
    <x v="13"/>
    <x v="13"/>
    <x v="0"/>
    <n v="6448"/>
    <n v="928"/>
    <n v="396672"/>
    <n v="0.3011858664085188"/>
    <n v="53922"/>
    <n v="5520"/>
    <n v="1.3915779283639884E-2"/>
  </r>
  <r>
    <x v="13"/>
    <x v="13"/>
    <x v="0"/>
    <n v="2179"/>
    <n v="303"/>
    <n v="398548"/>
    <n v="0.3390984272910666"/>
    <n v="54848"/>
    <n v="1876"/>
    <n v="4.7070867248110645E-3"/>
  </r>
  <r>
    <x v="13"/>
    <x v="13"/>
    <x v="1"/>
    <n v="7406"/>
    <n v="813"/>
    <n v="405141"/>
    <n v="0.2445741112353477"/>
    <n v="13390"/>
    <n v="6593"/>
    <n v="1.6273346810122897E-2"/>
  </r>
  <r>
    <x v="13"/>
    <x v="13"/>
    <x v="3"/>
    <n v="9591"/>
    <n v="1363"/>
    <n v="413369"/>
    <n v="0.1049425573760974"/>
    <n v="15997"/>
    <n v="8228"/>
    <n v="1.9904734026983156E-2"/>
  </r>
  <r>
    <x v="14"/>
    <x v="14"/>
    <x v="0"/>
    <n v="7907"/>
    <n v="465"/>
    <n v="420811"/>
    <n v="0.3325744811803874"/>
    <n v="22693"/>
    <n v="7442"/>
    <n v="1.76848989213685E-2"/>
  </r>
  <r>
    <x v="14"/>
    <x v="14"/>
    <x v="2"/>
    <n v="9800"/>
    <n v="682"/>
    <n v="429929"/>
    <n v="6.2966210699906267E-2"/>
    <n v="59815"/>
    <n v="9118"/>
    <n v="2.1208152974095722E-2"/>
  </r>
  <r>
    <x v="14"/>
    <x v="14"/>
    <x v="2"/>
    <n v="2638"/>
    <n v="143"/>
    <n v="432424"/>
    <n v="6.9547481175882928E-2"/>
    <n v="52092"/>
    <n v="2495"/>
    <n v="5.7698000111002165E-3"/>
  </r>
  <r>
    <x v="14"/>
    <x v="14"/>
    <x v="3"/>
    <n v="6671"/>
    <n v="550"/>
    <n v="438545"/>
    <n v="0.17750287883797561"/>
    <n v="10541"/>
    <n v="6121"/>
    <n v="1.3957518612685129E-2"/>
  </r>
  <r>
    <x v="15"/>
    <x v="15"/>
    <x v="2"/>
    <n v="7928"/>
    <n v="704"/>
    <n v="445769"/>
    <n v="0.11194362999670229"/>
    <n v="31817"/>
    <n v="7224"/>
    <n v="1.6205702953772022E-2"/>
  </r>
  <r>
    <x v="15"/>
    <x v="15"/>
    <x v="3"/>
    <n v="2382"/>
    <n v="183"/>
    <n v="447968"/>
    <n v="4.7335970426459033E-2"/>
    <n v="47861"/>
    <n v="2199"/>
    <n v="4.9088327737695546E-3"/>
  </r>
  <r>
    <x v="15"/>
    <x v="15"/>
    <x v="2"/>
    <n v="2403"/>
    <n v="319"/>
    <n v="450052"/>
    <n v="0.29921209104725682"/>
    <n v="23428"/>
    <n v="2084"/>
    <n v="4.6305760223263092E-3"/>
  </r>
  <r>
    <x v="15"/>
    <x v="15"/>
    <x v="1"/>
    <n v="4292"/>
    <n v="367"/>
    <n v="453977"/>
    <n v="3.503701729382766E-2"/>
    <n v="53934"/>
    <n v="3925"/>
    <n v="8.6458124530537899E-3"/>
  </r>
  <r>
    <x v="16"/>
    <x v="16"/>
    <x v="0"/>
    <n v="1419"/>
    <n v="110"/>
    <n v="455286"/>
    <n v="0.31554451487636337"/>
    <n v="58831"/>
    <n v="1309"/>
    <n v="2.8751158612388694E-3"/>
  </r>
  <r>
    <x v="16"/>
    <x v="16"/>
    <x v="1"/>
    <n v="5517"/>
    <n v="575"/>
    <n v="460228"/>
    <n v="0.29458442337276308"/>
    <n v="20258"/>
    <n v="4942"/>
    <n v="1.07381558705685E-2"/>
  </r>
  <r>
    <x v="16"/>
    <x v="16"/>
    <x v="0"/>
    <n v="4302"/>
    <n v="275"/>
    <n v="464255"/>
    <n v="0.1572131694865968"/>
    <n v="26044"/>
    <n v="4027"/>
    <n v="8.6741122874282456E-3"/>
  </r>
  <r>
    <x v="16"/>
    <x v="16"/>
    <x v="0"/>
    <n v="8857"/>
    <n v="1153"/>
    <n v="471959"/>
    <n v="0.19214592793018037"/>
    <n v="39411"/>
    <n v="7704"/>
    <n v="1.6323451825264481E-2"/>
  </r>
  <r>
    <x v="17"/>
    <x v="17"/>
    <x v="0"/>
    <n v="8870"/>
    <n v="509"/>
    <n v="480320"/>
    <n v="0.25077864756828783"/>
    <n v="15469"/>
    <n v="8361"/>
    <n v="1.7407145236508995E-2"/>
  </r>
  <r>
    <x v="17"/>
    <x v="17"/>
    <x v="1"/>
    <n v="6693"/>
    <n v="995"/>
    <n v="486018"/>
    <n v="0.2376187713212268"/>
    <n v="38854"/>
    <n v="5698"/>
    <n v="1.1723845618886543E-2"/>
  </r>
  <r>
    <x v="17"/>
    <x v="17"/>
    <x v="0"/>
    <n v="1767"/>
    <n v="224"/>
    <n v="487561"/>
    <n v="0.13208603641390509"/>
    <n v="16256"/>
    <n v="1543"/>
    <n v="3.1647322078673231E-3"/>
  </r>
  <r>
    <x v="17"/>
    <x v="17"/>
    <x v="1"/>
    <n v="3044"/>
    <n v="212"/>
    <n v="490393"/>
    <n v="8.5343795690395255E-2"/>
    <n v="20720"/>
    <n v="2832"/>
    <n v="5.7749600830354431E-3"/>
  </r>
  <r>
    <x v="18"/>
    <x v="18"/>
    <x v="3"/>
    <n v="2549"/>
    <n v="128"/>
    <n v="492814"/>
    <n v="0.1273421615457353"/>
    <n v="43937"/>
    <n v="2421"/>
    <n v="4.9126039438814641E-3"/>
  </r>
  <r>
    <x v="18"/>
    <x v="18"/>
    <x v="2"/>
    <n v="7140"/>
    <n v="939"/>
    <n v="499015"/>
    <n v="0.25120888149654819"/>
    <n v="43598"/>
    <n v="6201"/>
    <n v="1.2426480165926877E-2"/>
  </r>
  <r>
    <x v="18"/>
    <x v="18"/>
    <x v="2"/>
    <n v="4716"/>
    <n v="569"/>
    <n v="503162"/>
    <n v="0.25648200778278168"/>
    <n v="11651"/>
    <n v="4147"/>
    <n v="8.2418783612434963E-3"/>
  </r>
  <r>
    <x v="18"/>
    <x v="18"/>
    <x v="0"/>
    <n v="5481"/>
    <n v="673"/>
    <n v="507970"/>
    <n v="0.13087583912435771"/>
    <n v="29194"/>
    <n v="4808"/>
    <n v="9.4651258932614123E-3"/>
  </r>
  <r>
    <x v="19"/>
    <x v="19"/>
    <x v="1"/>
    <n v="8898"/>
    <n v="1131"/>
    <n v="515737"/>
    <n v="2.1877429775253671E-2"/>
    <n v="35051"/>
    <n v="7767"/>
    <n v="1.5060001512398761E-2"/>
  </r>
  <r>
    <x v="19"/>
    <x v="19"/>
    <x v="2"/>
    <n v="7548"/>
    <n v="433"/>
    <n v="522852"/>
    <n v="8.3562843787534521E-2"/>
    <n v="37386"/>
    <n v="7115"/>
    <n v="1.3608057347012157E-2"/>
  </r>
  <r>
    <x v="19"/>
    <x v="19"/>
    <x v="1"/>
    <n v="3293"/>
    <n v="282"/>
    <n v="525863"/>
    <n v="0.2704069310828105"/>
    <n v="19518"/>
    <n v="3011"/>
    <n v="5.7258259280458983E-3"/>
  </r>
  <r>
    <x v="19"/>
    <x v="19"/>
    <x v="1"/>
    <n v="5837"/>
    <n v="359"/>
    <n v="531341"/>
    <n v="6.8073045370110719E-2"/>
    <n v="56026"/>
    <n v="5478"/>
    <n v="1.0309763409938251E-2"/>
  </r>
  <r>
    <x v="20"/>
    <x v="20"/>
    <x v="0"/>
    <n v="8758"/>
    <n v="1193"/>
    <n v="538906"/>
    <n v="3.4213758985797149E-2"/>
    <n v="26184"/>
    <n v="7565"/>
    <n v="1.4037698596786824E-2"/>
  </r>
  <r>
    <x v="20"/>
    <x v="20"/>
    <x v="2"/>
    <n v="7793"/>
    <n v="875"/>
    <n v="545824"/>
    <n v="5.5136820660139529E-2"/>
    <n v="43787"/>
    <n v="6918"/>
    <n v="1.267441519610717E-2"/>
  </r>
  <r>
    <x v="20"/>
    <x v="20"/>
    <x v="0"/>
    <n v="8638"/>
    <n v="717"/>
    <n v="553745"/>
    <n v="0.26921416897669498"/>
    <n v="31621"/>
    <n v="7921"/>
    <n v="1.4304418098583283E-2"/>
  </r>
  <r>
    <x v="20"/>
    <x v="20"/>
    <x v="0"/>
    <n v="8993"/>
    <n v="506"/>
    <n v="562232"/>
    <n v="3.5131404829323129E-2"/>
    <n v="20028"/>
    <n v="8487"/>
    <n v="1.509519202037593E-2"/>
  </r>
  <r>
    <x v="21"/>
    <x v="21"/>
    <x v="2"/>
    <n v="7007"/>
    <n v="568"/>
    <n v="568671"/>
    <n v="0.1150507059442103"/>
    <n v="22448"/>
    <n v="6439"/>
    <n v="1.1322891443382905E-2"/>
  </r>
  <r>
    <x v="21"/>
    <x v="21"/>
    <x v="2"/>
    <n v="6542"/>
    <n v="539"/>
    <n v="574674"/>
    <n v="6.4069368024305948E-2"/>
    <n v="55253"/>
    <n v="6003"/>
    <n v="1.0445922383821088E-2"/>
  </r>
  <r>
    <x v="21"/>
    <x v="21"/>
    <x v="3"/>
    <n v="7356"/>
    <n v="904"/>
    <n v="581126"/>
    <n v="0.1756090761728093"/>
    <n v="44051"/>
    <n v="6452"/>
    <n v="1.1102583604932494E-2"/>
  </r>
  <r>
    <x v="21"/>
    <x v="21"/>
    <x v="3"/>
    <n v="9433"/>
    <n v="1073"/>
    <n v="589486"/>
    <n v="7.2934726185185053E-2"/>
    <n v="59811"/>
    <n v="8360"/>
    <n v="1.4181846557848703E-2"/>
  </r>
  <r>
    <x v="22"/>
    <x v="22"/>
    <x v="1"/>
    <n v="8380"/>
    <n v="1162"/>
    <n v="596704"/>
    <n v="0.18058534884968089"/>
    <n v="40447"/>
    <n v="7218"/>
    <n v="1.2096449831072022E-2"/>
  </r>
  <r>
    <x v="22"/>
    <x v="22"/>
    <x v="2"/>
    <n v="3385"/>
    <n v="329"/>
    <n v="599760"/>
    <n v="0.17617880485527551"/>
    <n v="28394"/>
    <n v="3056"/>
    <n v="5.0953714819261036E-3"/>
  </r>
  <r>
    <x v="22"/>
    <x v="22"/>
    <x v="3"/>
    <n v="5268"/>
    <n v="326"/>
    <n v="604702"/>
    <n v="0.23435841125050028"/>
    <n v="44501"/>
    <n v="4942"/>
    <n v="8.1726205635172366E-3"/>
  </r>
  <r>
    <x v="22"/>
    <x v="22"/>
    <x v="1"/>
    <n v="1671"/>
    <n v="202"/>
    <n v="606171"/>
    <n v="0.15150015424690388"/>
    <n v="40254"/>
    <n v="1469"/>
    <n v="2.4234085761278583E-3"/>
  </r>
  <r>
    <x v="23"/>
    <x v="23"/>
    <x v="1"/>
    <n v="1163"/>
    <n v="146"/>
    <n v="607188"/>
    <n v="0.2177776899411715"/>
    <n v="28509"/>
    <n v="1017"/>
    <n v="1.6749342872388782E-3"/>
  </r>
  <r>
    <x v="23"/>
    <x v="23"/>
    <x v="1"/>
    <n v="9656"/>
    <n v="1024"/>
    <n v="615820"/>
    <n v="8.7252768666168684E-2"/>
    <n v="58998"/>
    <n v="8632"/>
    <n v="1.401708291383846E-2"/>
  </r>
  <r>
    <x v="23"/>
    <x v="23"/>
    <x v="3"/>
    <n v="5592"/>
    <n v="710"/>
    <n v="620702"/>
    <n v="9.0711806954061697E-2"/>
    <n v="24472"/>
    <n v="4882"/>
    <n v="7.8652880126050834E-3"/>
  </r>
  <r>
    <x v="23"/>
    <x v="23"/>
    <x v="2"/>
    <n v="5795"/>
    <n v="575"/>
    <n v="625922"/>
    <n v="3.0908004511744268E-2"/>
    <n v="55657"/>
    <n v="5220"/>
    <n v="8.3396972785746461E-3"/>
  </r>
  <r>
    <x v="24"/>
    <x v="24"/>
    <x v="0"/>
    <n v="5798"/>
    <n v="592"/>
    <n v="631128"/>
    <n v="1.6774727155188809E-2"/>
    <n v="13471"/>
    <n v="5206"/>
    <n v="8.2487229214992831E-3"/>
  </r>
  <r>
    <x v="24"/>
    <x v="24"/>
    <x v="1"/>
    <n v="7036"/>
    <n v="652"/>
    <n v="637512"/>
    <n v="3.5705994553828009E-2"/>
    <n v="51796"/>
    <n v="6384"/>
    <n v="1.0013929149568949E-2"/>
  </r>
  <r>
    <x v="24"/>
    <x v="24"/>
    <x v="3"/>
    <n v="3355"/>
    <n v="176"/>
    <n v="640691"/>
    <n v="0.12426427091999111"/>
    <n v="40268"/>
    <n v="3179"/>
    <n v="4.9618302738761748E-3"/>
  </r>
  <r>
    <x v="24"/>
    <x v="24"/>
    <x v="3"/>
    <n v="6887"/>
    <n v="418"/>
    <n v="647160"/>
    <n v="0.20240280610668152"/>
    <n v="18329"/>
    <n v="6469"/>
    <n v="9.9959824463811114E-3"/>
  </r>
  <r>
    <x v="25"/>
    <x v="25"/>
    <x v="0"/>
    <n v="8961"/>
    <n v="476"/>
    <n v="655645"/>
    <n v="0.15458517947974901"/>
    <n v="44865"/>
    <n v="8485"/>
    <n v="1.2941454598143812E-2"/>
  </r>
  <r>
    <x v="25"/>
    <x v="25"/>
    <x v="0"/>
    <n v="6827"/>
    <n v="775"/>
    <n v="661697"/>
    <n v="0.15966220188394389"/>
    <n v="56850"/>
    <n v="6052"/>
    <n v="9.1461802003031598E-3"/>
  </r>
  <r>
    <x v="25"/>
    <x v="25"/>
    <x v="3"/>
    <n v="9737"/>
    <n v="792"/>
    <n v="670642"/>
    <n v="5.301785453341723E-2"/>
    <n v="56698"/>
    <n v="8945"/>
    <n v="1.3337965710468476E-2"/>
  </r>
  <r>
    <x v="25"/>
    <x v="25"/>
    <x v="2"/>
    <n v="5719"/>
    <n v="576"/>
    <n v="675785"/>
    <n v="0.1021656296011305"/>
    <n v="38272"/>
    <n v="5143"/>
    <n v="7.6104086358827145E-3"/>
  </r>
  <r>
    <x v="26"/>
    <x v="26"/>
    <x v="0"/>
    <n v="1593"/>
    <n v="224"/>
    <n v="677154"/>
    <n v="4.1495730660972251E-2"/>
    <n v="52845"/>
    <n v="1369"/>
    <n v="2.0216966893793729E-3"/>
  </r>
  <r>
    <x v="26"/>
    <x v="26"/>
    <x v="3"/>
    <n v="5839"/>
    <n v="437"/>
    <n v="682556"/>
    <n v="0.1744750613869045"/>
    <n v="16397"/>
    <n v="5402"/>
    <n v="7.9143689309009082E-3"/>
  </r>
  <r>
    <x v="26"/>
    <x v="26"/>
    <x v="0"/>
    <n v="8394"/>
    <n v="764"/>
    <n v="690186"/>
    <n v="6.355678034616756E-2"/>
    <n v="42373"/>
    <n v="7630"/>
    <n v="1.1054990973447738E-2"/>
  </r>
  <r>
    <x v="26"/>
    <x v="26"/>
    <x v="2"/>
    <n v="4493"/>
    <n v="564"/>
    <n v="694115"/>
    <n v="0.16625487131094988"/>
    <n v="45525"/>
    <n v="3929"/>
    <n v="5.660445315257558E-3"/>
  </r>
  <r>
    <x v="27"/>
    <x v="27"/>
    <x v="1"/>
    <n v="7164"/>
    <n v="522"/>
    <n v="700757"/>
    <n v="0.13449169969047761"/>
    <n v="34570"/>
    <n v="6642"/>
    <n v="9.4783213011072308E-3"/>
  </r>
  <r>
    <x v="27"/>
    <x v="27"/>
    <x v="0"/>
    <n v="3672"/>
    <n v="211"/>
    <n v="704218"/>
    <n v="0.1235057894004413"/>
    <n v="28284"/>
    <n v="3461"/>
    <n v="4.9146713091684675E-3"/>
  </r>
  <r>
    <x v="27"/>
    <x v="27"/>
    <x v="2"/>
    <n v="5200"/>
    <n v="410"/>
    <n v="709008"/>
    <n v="0.12913394489201821"/>
    <n v="28994"/>
    <n v="4790"/>
    <n v="6.7559181278631555E-3"/>
  </r>
  <r>
    <x v="27"/>
    <x v="27"/>
    <x v="3"/>
    <n v="1016"/>
    <n v="67"/>
    <n v="709957"/>
    <n v="0.20774215903216672"/>
    <n v="33284"/>
    <n v="949"/>
    <n v="1.3367006734210664E-3"/>
  </r>
  <r>
    <x v="28"/>
    <x v="28"/>
    <x v="0"/>
    <n v="4191"/>
    <n v="599"/>
    <n v="713549"/>
    <n v="0.11564167282134789"/>
    <n v="27833"/>
    <n v="3592"/>
    <n v="5.033992059410076E-3"/>
  </r>
  <r>
    <x v="28"/>
    <x v="28"/>
    <x v="0"/>
    <n v="1392"/>
    <n v="182"/>
    <n v="714759"/>
    <n v="5.9603306848881932E-2"/>
    <n v="35122"/>
    <n v="1210"/>
    <n v="1.6928782988391892E-3"/>
  </r>
  <r>
    <x v="28"/>
    <x v="28"/>
    <x v="3"/>
    <n v="9616"/>
    <n v="1089"/>
    <n v="723286"/>
    <n v="0.19258633514266829"/>
    <n v="15017"/>
    <n v="8527"/>
    <n v="1.178925072516266E-2"/>
  </r>
  <r>
    <x v="28"/>
    <x v="28"/>
    <x v="1"/>
    <n v="7272"/>
    <n v="997"/>
    <n v="729561"/>
    <n v="0.13428486445958598"/>
    <n v="26370"/>
    <n v="6275"/>
    <n v="8.6010628309353167E-3"/>
  </r>
  <r>
    <x v="29"/>
    <x v="29"/>
    <x v="3"/>
    <n v="1571"/>
    <n v="204"/>
    <n v="730928"/>
    <n v="0.1944938489153514"/>
    <n v="39252"/>
    <n v="1367"/>
    <n v="1.8702252479040344E-3"/>
  </r>
  <r>
    <x v="29"/>
    <x v="29"/>
    <x v="0"/>
    <n v="4631"/>
    <n v="317"/>
    <n v="735242"/>
    <n v="1.381177897889402E-2"/>
    <n v="17999"/>
    <n v="4314"/>
    <n v="5.8674558852731479E-3"/>
  </r>
  <r>
    <x v="29"/>
    <x v="29"/>
    <x v="3"/>
    <n v="7172"/>
    <n v="998"/>
    <n v="741416"/>
    <n v="0.18066780323057499"/>
    <n v="32436"/>
    <n v="6174"/>
    <n v="8.32730882527488E-3"/>
  </r>
  <r>
    <x v="29"/>
    <x v="29"/>
    <x v="2"/>
    <n v="8177"/>
    <n v="849"/>
    <n v="748744"/>
    <n v="0.1034986590877523"/>
    <n v="52963"/>
    <n v="7328"/>
    <n v="9.7870567243276748E-3"/>
  </r>
  <r>
    <x v="30"/>
    <x v="30"/>
    <x v="3"/>
    <n v="9433"/>
    <n v="1233"/>
    <n v="756944"/>
    <n v="0.1139172778963833"/>
    <n v="12096"/>
    <n v="8200"/>
    <n v="1.0833033883616226E-2"/>
  </r>
  <r>
    <x v="30"/>
    <x v="30"/>
    <x v="0"/>
    <n v="4897"/>
    <n v="683"/>
    <n v="761158"/>
    <n v="0.15062312949479609"/>
    <n v="58201"/>
    <n v="4214"/>
    <n v="5.5363012672795921E-3"/>
  </r>
  <r>
    <x v="30"/>
    <x v="30"/>
    <x v="3"/>
    <n v="9123"/>
    <n v="746"/>
    <n v="769535"/>
    <n v="6.3086149427901264E-2"/>
    <n v="35279"/>
    <n v="8377"/>
    <n v="1.0885794668208723E-2"/>
  </r>
  <r>
    <x v="30"/>
    <x v="30"/>
    <x v="1"/>
    <n v="3279"/>
    <n v="200"/>
    <n v="772614"/>
    <n v="5.0212654702089271E-2"/>
    <n v="53363"/>
    <n v="3079"/>
    <n v="3.9851724146857288E-3"/>
  </r>
  <r>
    <x v="31"/>
    <x v="31"/>
    <x v="3"/>
    <n v="9980"/>
    <n v="726"/>
    <n v="781868"/>
    <n v="4.0220344099003921E-2"/>
    <n v="58709"/>
    <n v="9254"/>
    <n v="1.1835757442432739E-2"/>
  </r>
  <r>
    <x v="31"/>
    <x v="31"/>
    <x v="1"/>
    <n v="8451"/>
    <n v="783"/>
    <n v="789536"/>
    <n v="0.1240728731812102"/>
    <n v="36201"/>
    <n v="7668"/>
    <n v="9.7120333968305442E-3"/>
  </r>
  <r>
    <x v="31"/>
    <x v="31"/>
    <x v="2"/>
    <n v="9906"/>
    <n v="1305"/>
    <n v="798137"/>
    <n v="9.1811305577864447E-2"/>
    <n v="29715"/>
    <n v="8601"/>
    <n v="1.0776345414383746E-2"/>
  </r>
  <r>
    <x v="31"/>
    <x v="31"/>
    <x v="1"/>
    <n v="1775"/>
    <n v="241"/>
    <n v="799671"/>
    <n v="8.1379717408784358E-2"/>
    <n v="39309"/>
    <n v="1534"/>
    <n v="1.918288896308607E-3"/>
  </r>
  <r>
    <x v="32"/>
    <x v="32"/>
    <x v="3"/>
    <n v="7869"/>
    <n v="398"/>
    <n v="807142"/>
    <n v="0.1521194535781808"/>
    <n v="25078"/>
    <n v="7471"/>
    <n v="9.2561160241940079E-3"/>
  </r>
  <r>
    <x v="32"/>
    <x v="32"/>
    <x v="0"/>
    <n v="3247"/>
    <n v="328"/>
    <n v="810061"/>
    <n v="0.139411723314664"/>
    <n v="15105"/>
    <n v="2919"/>
    <n v="3.6034323341081723E-3"/>
  </r>
  <r>
    <x v="32"/>
    <x v="32"/>
    <x v="1"/>
    <n v="8088"/>
    <n v="742"/>
    <n v="817407"/>
    <n v="0.146645428776607"/>
    <n v="39312"/>
    <n v="7346"/>
    <n v="8.9869550909155421E-3"/>
  </r>
  <r>
    <x v="32"/>
    <x v="32"/>
    <x v="2"/>
    <n v="1078"/>
    <n v="77"/>
    <n v="818408"/>
    <n v="0.18236747441373991"/>
    <n v="12839"/>
    <n v="1001"/>
    <n v="1.2231063234963489E-3"/>
  </r>
  <r>
    <x v="33"/>
    <x v="33"/>
    <x v="1"/>
    <n v="9080"/>
    <n v="562"/>
    <n v="826926"/>
    <n v="7.1083748727213805E-2"/>
    <n v="13384"/>
    <n v="8518"/>
    <n v="1.0300800797169276E-2"/>
  </r>
  <r>
    <x v="33"/>
    <x v="33"/>
    <x v="1"/>
    <n v="8099"/>
    <n v="678"/>
    <n v="834347"/>
    <n v="7.6464588474579515E-2"/>
    <n v="53619"/>
    <n v="7421"/>
    <n v="8.8943808751035247E-3"/>
  </r>
  <r>
    <x v="33"/>
    <x v="33"/>
    <x v="1"/>
    <n v="4926"/>
    <n v="710"/>
    <n v="838563"/>
    <n v="0.12962174577223182"/>
    <n v="52821"/>
    <n v="4216"/>
    <n v="5.0276484891415433E-3"/>
  </r>
  <r>
    <x v="33"/>
    <x v="33"/>
    <x v="2"/>
    <n v="8340"/>
    <n v="686"/>
    <n v="846217"/>
    <n v="7.2013443360272836E-2"/>
    <n v="23493"/>
    <n v="7654"/>
    <n v="9.0449612806171465E-3"/>
  </r>
  <r>
    <x v="34"/>
    <x v="34"/>
    <x v="3"/>
    <n v="8083"/>
    <n v="823"/>
    <n v="853477"/>
    <n v="4.6300017457998284E-2"/>
    <n v="27069"/>
    <n v="7260"/>
    <n v="8.5063803711172073E-3"/>
  </r>
  <r>
    <x v="34"/>
    <x v="34"/>
    <x v="1"/>
    <n v="7230"/>
    <n v="869"/>
    <n v="859838"/>
    <n v="7.0117859410726208E-2"/>
    <n v="56907"/>
    <n v="6361"/>
    <n v="7.397905186791E-3"/>
  </r>
  <r>
    <x v="34"/>
    <x v="34"/>
    <x v="1"/>
    <n v="5940"/>
    <n v="512"/>
    <n v="865266"/>
    <n v="0.157972230504839"/>
    <n v="17531"/>
    <n v="5428"/>
    <n v="6.2732154042803023E-3"/>
  </r>
  <r>
    <x v="34"/>
    <x v="34"/>
    <x v="0"/>
    <n v="4271"/>
    <n v="628"/>
    <n v="868909"/>
    <n v="0.11124410036033691"/>
    <n v="47051"/>
    <n v="3643"/>
    <n v="4.1926139561219876E-3"/>
  </r>
  <r>
    <x v="35"/>
    <x v="35"/>
    <x v="2"/>
    <n v="4456"/>
    <n v="651"/>
    <n v="872714"/>
    <n v="9.5052903929580601E-2"/>
    <n v="17736"/>
    <n v="3805"/>
    <n v="4.3599621410908961E-3"/>
  </r>
  <r>
    <x v="35"/>
    <x v="35"/>
    <x v="1"/>
    <n v="8788"/>
    <n v="660"/>
    <n v="880842"/>
    <n v="3.7175793161543159E-2"/>
    <n v="17710"/>
    <n v="8128"/>
    <n v="9.2275345635199051E-3"/>
  </r>
  <r>
    <x v="35"/>
    <x v="35"/>
    <x v="2"/>
    <n v="9599"/>
    <n v="957"/>
    <n v="889484"/>
    <n v="8.7680048207724931E-2"/>
    <n v="11619"/>
    <n v="8642"/>
    <n v="9.7157453085159485E-3"/>
  </r>
  <r>
    <x v="35"/>
    <x v="35"/>
    <x v="1"/>
    <n v="8650"/>
    <n v="692"/>
    <n v="897442"/>
    <n v="7.6673478620345376E-2"/>
    <n v="23975"/>
    <n v="7958"/>
    <n v="8.8674254157928862E-3"/>
  </r>
  <r>
    <x v="36"/>
    <x v="36"/>
    <x v="3"/>
    <n v="3711"/>
    <n v="291"/>
    <n v="900862"/>
    <n v="0.14248797263065818"/>
    <n v="55603"/>
    <n v="3420"/>
    <n v="3.7963639269943676E-3"/>
  </r>
  <r>
    <x v="36"/>
    <x v="36"/>
    <x v="3"/>
    <n v="2668"/>
    <n v="143"/>
    <n v="903387"/>
    <n v="0.15903372530266649"/>
    <n v="33252"/>
    <n v="2525"/>
    <n v="2.795036900021807E-3"/>
  </r>
  <r>
    <x v="36"/>
    <x v="36"/>
    <x v="1"/>
    <n v="1147"/>
    <n v="127"/>
    <n v="904407"/>
    <n v="1.3997016829812241E-2"/>
    <n v="25261"/>
    <n v="1020"/>
    <n v="1.1278108196862695E-3"/>
  </r>
  <r>
    <x v="36"/>
    <x v="36"/>
    <x v="3"/>
    <n v="7420"/>
    <n v="743"/>
    <n v="911084"/>
    <n v="0.1059353473444819"/>
    <n v="11431"/>
    <n v="6677"/>
    <n v="7.3286327056561193E-3"/>
  </r>
  <r>
    <x v="37"/>
    <x v="37"/>
    <x v="1"/>
    <n v="1365"/>
    <n v="75"/>
    <n v="912374"/>
    <n v="9.2688963078737446E-2"/>
    <n v="19067"/>
    <n v="1290"/>
    <n v="1.4138938637006315E-3"/>
  </r>
  <r>
    <x v="37"/>
    <x v="37"/>
    <x v="3"/>
    <n v="5531"/>
    <n v="430"/>
    <n v="917475"/>
    <n v="2.728902694896319E-2"/>
    <n v="47481"/>
    <n v="5101"/>
    <n v="5.5598245183792472E-3"/>
  </r>
  <r>
    <x v="37"/>
    <x v="37"/>
    <x v="0"/>
    <n v="6330"/>
    <n v="891"/>
    <n v="922914"/>
    <n v="0.14789893749580141"/>
    <n v="37037"/>
    <n v="5439"/>
    <n v="5.8932901657142486E-3"/>
  </r>
  <r>
    <x v="37"/>
    <x v="37"/>
    <x v="0"/>
    <n v="6510"/>
    <n v="481"/>
    <n v="928943"/>
    <n v="2.3800168578696428E-2"/>
    <n v="19557"/>
    <n v="6029"/>
    <n v="6.4901721634158397E-3"/>
  </r>
  <r>
    <x v="38"/>
    <x v="38"/>
    <x v="0"/>
    <n v="9754"/>
    <n v="629"/>
    <n v="938068"/>
    <n v="3.4123325814333291E-2"/>
    <n v="19435"/>
    <n v="9125"/>
    <n v="9.7274398018054129E-3"/>
  </r>
  <r>
    <x v="38"/>
    <x v="38"/>
    <x v="2"/>
    <n v="9964"/>
    <n v="985"/>
    <n v="947047"/>
    <n v="1.9837452629066988E-2"/>
    <n v="47766"/>
    <n v="8979"/>
    <n v="9.4810500429228957E-3"/>
  </r>
  <r>
    <x v="38"/>
    <x v="38"/>
    <x v="2"/>
    <n v="7493"/>
    <n v="1113"/>
    <n v="953427"/>
    <n v="0.15684892498324468"/>
    <n v="10162"/>
    <n v="6380"/>
    <n v="6.6916502259743013E-3"/>
  </r>
  <r>
    <x v="38"/>
    <x v="38"/>
    <x v="0"/>
    <n v="6439"/>
    <n v="477"/>
    <n v="959389"/>
    <n v="7.474444672598915E-2"/>
    <n v="44742"/>
    <n v="5962"/>
    <n v="6.2143718554204808E-3"/>
  </r>
  <r>
    <x v="39"/>
    <x v="39"/>
    <x v="2"/>
    <n v="7511"/>
    <n v="880"/>
    <n v="966020"/>
    <n v="4.6083932009689244E-2"/>
    <n v="29675"/>
    <n v="6631"/>
    <n v="6.8642471170369144E-3"/>
  </r>
  <r>
    <x v="39"/>
    <x v="39"/>
    <x v="3"/>
    <n v="8504"/>
    <n v="1072"/>
    <n v="973452"/>
    <n v="6.5651927367759266E-2"/>
    <n v="18461"/>
    <n v="7432"/>
    <n v="7.6346856342171983E-3"/>
  </r>
  <r>
    <x v="39"/>
    <x v="39"/>
    <x v="1"/>
    <n v="2246"/>
    <n v="165"/>
    <n v="975533"/>
    <n v="2.9062061457685192E-2"/>
    <n v="27015"/>
    <n v="2081"/>
    <n v="2.1331928289458173E-3"/>
  </r>
  <r>
    <x v="39"/>
    <x v="39"/>
    <x v="1"/>
    <n v="4839"/>
    <n v="594"/>
    <n v="979778"/>
    <n v="2.5803804535313103E-2"/>
    <n v="42591"/>
    <n v="4245"/>
    <n v="4.3326141227910814E-3"/>
  </r>
  <r>
    <x v="40"/>
    <x v="40"/>
    <x v="1"/>
    <n v="9551"/>
    <n v="828"/>
    <n v="988501"/>
    <n v="1.5250363934887269E-2"/>
    <n v="38047"/>
    <n v="8723"/>
    <n v="8.8244726105487E-3"/>
  </r>
  <r>
    <x v="40"/>
    <x v="40"/>
    <x v="0"/>
    <n v="3376"/>
    <n v="382"/>
    <n v="991495"/>
    <n v="3.8694093263203548E-2"/>
    <n v="44782"/>
    <n v="2994"/>
    <n v="3.0196823988018094E-3"/>
  </r>
  <r>
    <x v="40"/>
    <x v="40"/>
    <x v="2"/>
    <n v="4009"/>
    <n v="454"/>
    <n v="995050"/>
    <n v="2.1106477061454201E-2"/>
    <n v="19833"/>
    <n v="3555"/>
    <n v="3.5726847897090599E-3"/>
  </r>
  <r>
    <x v="40"/>
    <x v="40"/>
    <x v="3"/>
    <n v="2827"/>
    <n v="292"/>
    <n v="997585"/>
    <n v="2.400497200739787E-2"/>
    <n v="17896"/>
    <n v="2535"/>
    <n v="2.5411368454818384E-3"/>
  </r>
  <r>
    <x v="41"/>
    <x v="41"/>
    <x v="3"/>
    <n v="7979"/>
    <n v="470"/>
    <n v="1005094"/>
    <n v="0.1043086517280971"/>
    <n v="42972"/>
    <n v="7509"/>
    <n v="7.4709430162750948E-3"/>
  </r>
  <r>
    <x v="41"/>
    <x v="41"/>
    <x v="0"/>
    <n v="9569"/>
    <n v="1277"/>
    <n v="1013386"/>
    <n v="0.1245517502708741"/>
    <n v="59733"/>
    <n v="8292"/>
    <n v="8.1824694637581338E-3"/>
  </r>
  <r>
    <x v="41"/>
    <x v="41"/>
    <x v="3"/>
    <n v="5285"/>
    <n v="433"/>
    <n v="1018238"/>
    <n v="8.7022876773406616E-2"/>
    <n v="51800"/>
    <n v="4852"/>
    <n v="4.7650942117658151E-3"/>
  </r>
  <r>
    <x v="41"/>
    <x v="41"/>
    <x v="3"/>
    <n v="7910"/>
    <n v="543"/>
    <n v="1025605"/>
    <n v="6.0590578244060819E-2"/>
    <n v="40508"/>
    <n v="7367"/>
    <n v="7.183077305590359E-3"/>
  </r>
  <r>
    <x v="42"/>
    <x v="42"/>
    <x v="3"/>
    <n v="9561"/>
    <n v="517"/>
    <n v="1034649"/>
    <n v="6.4086467971263689E-2"/>
    <n v="15347"/>
    <n v="9044"/>
    <n v="8.741128633961856E-3"/>
  </r>
  <r>
    <x v="42"/>
    <x v="42"/>
    <x v="3"/>
    <n v="3196"/>
    <n v="348"/>
    <n v="1037497"/>
    <n v="0.14030402015620289"/>
    <n v="40314"/>
    <n v="2848"/>
    <n v="2.7450681785103955E-3"/>
  </r>
  <r>
    <x v="42"/>
    <x v="42"/>
    <x v="2"/>
    <n v="4747"/>
    <n v="558"/>
    <n v="1041686"/>
    <n v="5.7680529449373436E-2"/>
    <n v="12643"/>
    <n v="4189"/>
    <n v="4.021365363458854E-3"/>
  </r>
  <r>
    <x v="42"/>
    <x v="42"/>
    <x v="3"/>
    <n v="9843"/>
    <n v="508"/>
    <n v="1051021"/>
    <n v="4.2080986012648654E-2"/>
    <n v="50785"/>
    <n v="9335"/>
    <n v="8.8818396587699005E-3"/>
  </r>
  <r>
    <x v="43"/>
    <x v="43"/>
    <x v="1"/>
    <n v="6978"/>
    <n v="706"/>
    <n v="1057293"/>
    <n v="5.057443868445171E-2"/>
    <n v="28681"/>
    <n v="6272"/>
    <n v="5.9321304501212058E-3"/>
  </r>
  <r>
    <x v="43"/>
    <x v="43"/>
    <x v="0"/>
    <n v="6607"/>
    <n v="479"/>
    <n v="1063421"/>
    <n v="5.5892257158735817E-2"/>
    <n v="48328"/>
    <n v="6128"/>
    <n v="5.7625343114345116E-3"/>
  </r>
  <r>
    <x v="43"/>
    <x v="43"/>
    <x v="2"/>
    <n v="1769"/>
    <n v="202"/>
    <n v="1064988"/>
    <n v="6.5457075572682516E-2"/>
    <n v="25892"/>
    <n v="1567"/>
    <n v="1.4713780812553757E-3"/>
  </r>
  <r>
    <x v="43"/>
    <x v="43"/>
    <x v="3"/>
    <n v="1780"/>
    <n v="120"/>
    <n v="1066648"/>
    <n v="0.1386474263299608"/>
    <n v="57299"/>
    <n v="1660"/>
    <n v="1.55627723485161E-3"/>
  </r>
  <r>
    <x v="44"/>
    <x v="44"/>
    <x v="2"/>
    <n v="7303"/>
    <n v="869"/>
    <n v="1073082"/>
    <n v="8.123796690280892E-2"/>
    <n v="27073"/>
    <n v="6434"/>
    <n v="5.9958139266151145E-3"/>
  </r>
  <r>
    <x v="44"/>
    <x v="44"/>
    <x v="3"/>
    <n v="4983"/>
    <n v="441"/>
    <n v="1077624"/>
    <n v="6.8954477628560606E-2"/>
    <n v="46768"/>
    <n v="4542"/>
    <n v="4.2148281775461569E-3"/>
  </r>
  <r>
    <x v="44"/>
    <x v="44"/>
    <x v="1"/>
    <n v="9714"/>
    <n v="1395"/>
    <n v="1085943"/>
    <n v="5.2243073531483698E-2"/>
    <n v="40682"/>
    <n v="8319"/>
    <n v="7.6606230713766746E-3"/>
  </r>
  <r>
    <x v="44"/>
    <x v="44"/>
    <x v="0"/>
    <n v="1521"/>
    <n v="96"/>
    <n v="1087368"/>
    <n v="0.12709772588488899"/>
    <n v="42262"/>
    <n v="1425"/>
    <n v="1.3105038956452645E-3"/>
  </r>
  <r>
    <x v="45"/>
    <x v="45"/>
    <x v="3"/>
    <n v="8569"/>
    <n v="720"/>
    <n v="1095217"/>
    <n v="9.5896977493957813E-2"/>
    <n v="41358"/>
    <n v="7849"/>
    <n v="7.1666162961312686E-3"/>
  </r>
  <r>
    <x v="45"/>
    <x v="45"/>
    <x v="3"/>
    <n v="6784"/>
    <n v="416"/>
    <n v="1101585"/>
    <n v="9.3041390360253634E-2"/>
    <n v="24289"/>
    <n v="6368"/>
    <n v="5.7807613574985131E-3"/>
  </r>
  <r>
    <x v="45"/>
    <x v="45"/>
    <x v="3"/>
    <n v="5583"/>
    <n v="795"/>
    <n v="1106373"/>
    <n v="0.1221550055903389"/>
    <n v="59823"/>
    <n v="4788"/>
    <n v="4.327654416729259E-3"/>
  </r>
  <r>
    <x v="45"/>
    <x v="45"/>
    <x v="3"/>
    <n v="6946"/>
    <n v="956"/>
    <n v="1112363"/>
    <n v="1.6414605663798602E-2"/>
    <n v="17927"/>
    <n v="5990"/>
    <n v="5.3849327962185002E-3"/>
  </r>
  <r>
    <x v="46"/>
    <x v="46"/>
    <x v="0"/>
    <n v="5941"/>
    <n v="450"/>
    <n v="1117854"/>
    <n v="0.12414411899944"/>
    <n v="58330"/>
    <n v="5491"/>
    <n v="4.9120904876665469E-3"/>
  </r>
  <r>
    <x v="46"/>
    <x v="46"/>
    <x v="0"/>
    <n v="7267"/>
    <n v="842"/>
    <n v="1124279"/>
    <n v="2.210216503198939E-2"/>
    <n v="11171"/>
    <n v="6425"/>
    <n v="5.7147736460433753E-3"/>
  </r>
  <r>
    <x v="46"/>
    <x v="46"/>
    <x v="1"/>
    <n v="8128"/>
    <n v="1070"/>
    <n v="1131337"/>
    <n v="8.1114645768679008E-2"/>
    <n v="21918"/>
    <n v="7058"/>
    <n v="6.2386362330587612E-3"/>
  </r>
  <r>
    <x v="46"/>
    <x v="46"/>
    <x v="0"/>
    <n v="3461"/>
    <n v="365"/>
    <n v="1134433"/>
    <n v="0.1023489267325616"/>
    <n v="51903"/>
    <n v="3096"/>
    <n v="2.7291166600407427E-3"/>
  </r>
  <r>
    <x v="47"/>
    <x v="47"/>
    <x v="3"/>
    <n v="1685"/>
    <n v="173"/>
    <n v="1135945"/>
    <n v="8.7776256772995165E-2"/>
    <n v="49110"/>
    <n v="1512"/>
    <n v="1.331050358952238E-3"/>
  </r>
  <r>
    <x v="47"/>
    <x v="47"/>
    <x v="1"/>
    <n v="3160"/>
    <n v="234"/>
    <n v="1138871"/>
    <n v="5.6959041015180817E-2"/>
    <n v="21929"/>
    <n v="2926"/>
    <n v="2.5692110871204906E-3"/>
  </r>
  <r>
    <x v="47"/>
    <x v="47"/>
    <x v="1"/>
    <n v="8031"/>
    <n v="476"/>
    <n v="1146426"/>
    <n v="0.11940413075069831"/>
    <n v="12539"/>
    <n v="7555"/>
    <n v="6.5900459340594159E-3"/>
  </r>
  <r>
    <x v="47"/>
    <x v="47"/>
    <x v="1"/>
    <n v="6341"/>
    <n v="885"/>
    <n v="1151882"/>
    <n v="6.3457020771224837E-2"/>
    <n v="46727"/>
    <n v="5456"/>
    <n v="4.7365962832998515E-3"/>
  </r>
  <r>
    <x v="48"/>
    <x v="48"/>
    <x v="3"/>
    <n v="1038"/>
    <n v="145"/>
    <n v="1152775"/>
    <n v="0.11093752033137431"/>
    <n v="55951"/>
    <n v="893"/>
    <n v="7.7465246904209403E-4"/>
  </r>
  <r>
    <x v="48"/>
    <x v="48"/>
    <x v="2"/>
    <n v="5875"/>
    <n v="665"/>
    <n v="1157985"/>
    <n v="6.9871371390821127E-2"/>
    <n v="32669"/>
    <n v="5210"/>
    <n v="4.4991947218659999E-3"/>
  </r>
  <r>
    <x v="48"/>
    <x v="48"/>
    <x v="3"/>
    <n v="2256"/>
    <n v="189"/>
    <n v="1160052"/>
    <n v="2.8935771844710412E-2"/>
    <n v="15432"/>
    <n v="2067"/>
    <n v="1.7818166771834366E-3"/>
  </r>
  <r>
    <x v="48"/>
    <x v="48"/>
    <x v="0"/>
    <n v="8697"/>
    <n v="738"/>
    <n v="1168011"/>
    <n v="3.877703206562267E-2"/>
    <n v="30644"/>
    <n v="7959"/>
    <n v="6.8141481544266276E-3"/>
  </r>
  <r>
    <x v="49"/>
    <x v="49"/>
    <x v="0"/>
    <n v="3196"/>
    <n v="391"/>
    <n v="1170816"/>
    <n v="7.2439221876024931E-2"/>
    <n v="28745"/>
    <n v="2805"/>
    <n v="2.3957650049196456E-3"/>
  </r>
  <r>
    <x v="49"/>
    <x v="49"/>
    <x v="3"/>
    <n v="8165"/>
    <n v="1140"/>
    <n v="1177841"/>
    <n v="9.0959645656756724E-2"/>
    <n v="38228"/>
    <n v="7025"/>
    <n v="5.9643024822535473E-3"/>
  </r>
  <r>
    <x v="49"/>
    <x v="49"/>
    <x v="3"/>
    <n v="1301"/>
    <n v="180"/>
    <n v="1178962"/>
    <n v="5.2275645864752217E-2"/>
    <n v="44521"/>
    <n v="1121"/>
    <n v="9.5083641372665107E-4"/>
  </r>
  <r>
    <x v="49"/>
    <x v="49"/>
    <x v="1"/>
    <n v="8527"/>
    <n v="1091"/>
    <n v="1186398"/>
    <n v="1.6760817196252858E-2"/>
    <n v="41703"/>
    <n v="7436"/>
    <n v="6.267711172810473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s v="Instagram"/>
    <n v="4138"/>
    <n v="361"/>
    <n v="103777"/>
    <n v="0.5663779064725325"/>
    <n v="23944"/>
    <n v="3777"/>
    <n v="3.6395347716738774E-2"/>
    <n v="3777"/>
  </r>
  <r>
    <d v="2024-06-03T00:00:00"/>
    <x v="0"/>
    <s v="Twitter"/>
    <n v="8693"/>
    <n v="1261"/>
    <n v="111209"/>
    <n v="0.69475492091467417"/>
    <n v="29873"/>
    <n v="7432"/>
    <n v="6.6829123542159363E-2"/>
    <n v="7432"/>
  </r>
  <r>
    <d v="2024-06-03T00:00:00"/>
    <x v="0"/>
    <s v="YouTube"/>
    <n v="9264"/>
    <n v="1141"/>
    <n v="119332"/>
    <n v="0.92312204605638049"/>
    <n v="50372"/>
    <n v="8123"/>
    <n v="6.8070592967519189E-2"/>
    <n v="8123"/>
  </r>
  <r>
    <d v="2024-06-03T00:00:00"/>
    <x v="0"/>
    <s v="YouTube"/>
    <n v="8842"/>
    <n v="971"/>
    <n v="127203"/>
    <n v="0.16351815601833292"/>
    <n v="33928"/>
    <n v="7871"/>
    <n v="6.1877471443283573E-2"/>
    <n v="6444"/>
  </r>
  <r>
    <d v="2024-06-10T00:00:00"/>
    <x v="1"/>
    <s v="Instagram"/>
    <n v="7721"/>
    <n v="506"/>
    <n v="134418"/>
    <n v="0.35577824398518049"/>
    <n v="25379"/>
    <n v="7215"/>
    <n v="5.3675846984778827E-2"/>
    <n v="7808.666666666667"/>
  </r>
  <r>
    <d v="2024-06-10T00:00:00"/>
    <x v="1"/>
    <s v="YouTube"/>
    <n v="8002"/>
    <n v="524"/>
    <n v="141896"/>
    <n v="0.52064892597395274"/>
    <n v="46751"/>
    <n v="7478"/>
    <n v="5.270056943113266E-2"/>
    <n v="7736.333333333333"/>
  </r>
  <r>
    <d v="2024-06-10T00:00:00"/>
    <x v="1"/>
    <s v="Twitter"/>
    <n v="5225"/>
    <n v="291"/>
    <n v="146830"/>
    <n v="0.19551862698358652"/>
    <n v="44546"/>
    <n v="4934"/>
    <n v="3.3603487025812166E-2"/>
    <n v="7521.333333333333"/>
  </r>
  <r>
    <d v="2024-06-10T00:00:00"/>
    <x v="1"/>
    <s v="Twitter"/>
    <n v="3978"/>
    <n v="543"/>
    <n v="150265"/>
    <n v="0.4915981765547533"/>
    <n v="34286"/>
    <n v="3435"/>
    <n v="2.2859614680730708E-2"/>
    <n v="6542.333333333333"/>
  </r>
  <r>
    <d v="2024-06-17T00:00:00"/>
    <x v="2"/>
    <s v="Instagram"/>
    <n v="8373"/>
    <n v="921"/>
    <n v="157717"/>
    <n v="0.12226329438170901"/>
    <n v="15110"/>
    <n v="7452"/>
    <n v="4.7249186834646864E-2"/>
    <n v="5282.333333333333"/>
  </r>
  <r>
    <d v="2024-06-17T00:00:00"/>
    <x v="2"/>
    <s v="Twitter"/>
    <n v="6907"/>
    <n v="834"/>
    <n v="163790"/>
    <n v="0.54158984064961235"/>
    <n v="22087"/>
    <n v="6073"/>
    <n v="3.7077965687770928E-2"/>
    <n v="5273.666666666667"/>
  </r>
  <r>
    <d v="2024-06-17T00:00:00"/>
    <x v="2"/>
    <s v="LinkedIn"/>
    <n v="7097"/>
    <n v="369"/>
    <n v="170518"/>
    <n v="9.2506362964613717E-2"/>
    <n v="33762"/>
    <n v="6728"/>
    <n v="3.9456245088495059E-2"/>
    <n v="5653.333333333333"/>
  </r>
  <r>
    <d v="2024-06-17T00:00:00"/>
    <x v="2"/>
    <s v="Instagram"/>
    <n v="6656"/>
    <n v="978"/>
    <n v="176196"/>
    <n v="0.60425889350496043"/>
    <n v="27081"/>
    <n v="5678"/>
    <n v="3.2225476174260484E-2"/>
    <n v="6751"/>
  </r>
  <r>
    <d v="2024-06-24T00:00:00"/>
    <x v="3"/>
    <s v="Twitter"/>
    <n v="9984"/>
    <n v="1330"/>
    <n v="184850"/>
    <n v="0.57524479307546661"/>
    <n v="44947"/>
    <n v="8654"/>
    <n v="4.6816337571003515E-2"/>
    <n v="6159.666666666667"/>
  </r>
  <r>
    <d v="2024-06-24T00:00:00"/>
    <x v="3"/>
    <s v="Instagram"/>
    <n v="5259"/>
    <n v="374"/>
    <n v="189735"/>
    <n v="0.14827522597306769"/>
    <n v="19596"/>
    <n v="4885"/>
    <n v="2.5746435818378266E-2"/>
    <n v="7020"/>
  </r>
  <r>
    <d v="2024-06-24T00:00:00"/>
    <x v="3"/>
    <s v="YouTube"/>
    <n v="9286"/>
    <n v="633"/>
    <n v="198388"/>
    <n v="5.4343004617214759E-2"/>
    <n v="48019"/>
    <n v="8653"/>
    <n v="4.3616549388067825E-2"/>
    <n v="6405.666666666667"/>
  </r>
  <r>
    <d v="2024-06-24T00:00:00"/>
    <x v="3"/>
    <s v="Twitter"/>
    <n v="6901"/>
    <n v="471"/>
    <n v="204818"/>
    <n v="0.60827661631301944"/>
    <n v="52003"/>
    <n v="6430"/>
    <n v="3.1393725160874533E-2"/>
    <n v="7397.333333333333"/>
  </r>
  <r>
    <d v="2024-07-01T00:00:00"/>
    <x v="4"/>
    <s v="LinkedIn"/>
    <n v="5917"/>
    <n v="475"/>
    <n v="210260"/>
    <n v="0.17894035955483692"/>
    <n v="28313"/>
    <n v="5442"/>
    <n v="2.5882241034909159E-2"/>
    <n v="6656"/>
  </r>
  <r>
    <d v="2024-07-01T00:00:00"/>
    <x v="4"/>
    <s v="Twitter"/>
    <n v="9429"/>
    <n v="966"/>
    <n v="218723"/>
    <n v="7.6914636320825888E-2"/>
    <n v="57639"/>
    <n v="8463"/>
    <n v="3.8692775794040866E-2"/>
    <n v="6841.666666666667"/>
  </r>
  <r>
    <d v="2024-07-01T00:00:00"/>
    <x v="4"/>
    <s v="Instagram"/>
    <n v="3530"/>
    <n v="328"/>
    <n v="221925"/>
    <n v="0.12837219781457698"/>
    <n v="11013"/>
    <n v="3202"/>
    <n v="1.4428297848372199E-2"/>
    <n v="6778.333333333333"/>
  </r>
  <r>
    <d v="2024-07-01T00:00:00"/>
    <x v="4"/>
    <s v="Instagram"/>
    <n v="2960"/>
    <n v="234"/>
    <n v="224651"/>
    <n v="0.17412786945083711"/>
    <n v="59378"/>
    <n v="2726"/>
    <n v="1.213437732304775E-2"/>
    <n v="5702.333333333333"/>
  </r>
  <r>
    <d v="2024-07-08T00:00:00"/>
    <x v="5"/>
    <s v="Twitter"/>
    <n v="8045"/>
    <n v="894"/>
    <n v="231802"/>
    <n v="0.47634187798207089"/>
    <n v="33705"/>
    <n v="7151"/>
    <n v="3.084960440375838E-2"/>
    <n v="4797"/>
  </r>
  <r>
    <d v="2024-07-08T00:00:00"/>
    <x v="5"/>
    <s v="LinkedIn"/>
    <n v="2048"/>
    <n v="130"/>
    <n v="233720"/>
    <n v="0.39284614068115686"/>
    <n v="11828"/>
    <n v="1918"/>
    <n v="8.2064008214958063E-3"/>
    <n v="4359.666666666667"/>
  </r>
  <r>
    <d v="2024-07-08T00:00:00"/>
    <x v="5"/>
    <s v="LinkedIn"/>
    <n v="6772"/>
    <n v="536"/>
    <n v="239956"/>
    <n v="9.8205504342462793E-2"/>
    <n v="17909"/>
    <n v="6236"/>
    <n v="2.5988097817933289E-2"/>
    <n v="3931.6666666666665"/>
  </r>
  <r>
    <d v="2024-07-08T00:00:00"/>
    <x v="5"/>
    <s v="LinkedIn"/>
    <n v="3529"/>
    <n v="305"/>
    <n v="243180"/>
    <n v="0.41606628834608111"/>
    <n v="48356"/>
    <n v="3224"/>
    <n v="1.3257669216218439E-2"/>
    <n v="5101.666666666667"/>
  </r>
  <r>
    <d v="2024-07-15T00:00:00"/>
    <x v="6"/>
    <s v="Instagram"/>
    <n v="3964"/>
    <n v="378"/>
    <n v="246766"/>
    <n v="0.136355899921383"/>
    <n v="23109"/>
    <n v="3586"/>
    <n v="1.453198576789347E-2"/>
    <n v="3792.6666666666665"/>
  </r>
  <r>
    <d v="2024-07-15T00:00:00"/>
    <x v="6"/>
    <s v="Twitter"/>
    <n v="8137"/>
    <n v="1045"/>
    <n v="253858"/>
    <n v="0.2047246886054408"/>
    <n v="12023"/>
    <n v="7092"/>
    <n v="2.7936878097203948E-2"/>
    <n v="4348.666666666667"/>
  </r>
  <r>
    <d v="2024-07-15T00:00:00"/>
    <x v="6"/>
    <s v="YouTube"/>
    <n v="1963"/>
    <n v="137"/>
    <n v="255684"/>
    <n v="0.112083665774941"/>
    <n v="24537"/>
    <n v="1826"/>
    <n v="7.1416279469970747E-3"/>
    <n v="4634"/>
  </r>
  <r>
    <d v="2024-07-15T00:00:00"/>
    <x v="6"/>
    <s v="Instagram"/>
    <n v="1536"/>
    <n v="155"/>
    <n v="257065"/>
    <n v="0.12157625503277381"/>
    <n v="36661"/>
    <n v="1381"/>
    <n v="5.3721821329235798E-3"/>
    <n v="4168"/>
  </r>
  <r>
    <d v="2024-07-22T00:00:00"/>
    <x v="7"/>
    <s v="LinkedIn"/>
    <n v="8340"/>
    <n v="911"/>
    <n v="264494"/>
    <n v="0.37302925586213681"/>
    <n v="48659"/>
    <n v="7429"/>
    <n v="2.8087593669421613E-2"/>
    <n v="3433"/>
  </r>
  <r>
    <d v="2024-07-22T00:00:00"/>
    <x v="7"/>
    <s v="Twitter"/>
    <n v="8179"/>
    <n v="446"/>
    <n v="272227"/>
    <n v="0.41821714965818968"/>
    <n v="43848"/>
    <n v="7733"/>
    <n v="2.8406440213498294E-2"/>
    <n v="3545.3333333333335"/>
  </r>
  <r>
    <d v="2024-07-22T00:00:00"/>
    <x v="7"/>
    <s v="LinkedIn"/>
    <n v="8967"/>
    <n v="993"/>
    <n v="280201"/>
    <n v="0.52792102811910024"/>
    <n v="47804"/>
    <n v="7974"/>
    <n v="2.8458142547671136E-2"/>
    <n v="5514.333333333333"/>
  </r>
  <r>
    <d v="2024-07-22T00:00:00"/>
    <x v="7"/>
    <s v="YouTube"/>
    <n v="9734"/>
    <n v="652"/>
    <n v="289283"/>
    <n v="0.49647922622483859"/>
    <n v="25379"/>
    <n v="9082"/>
    <n v="3.1394862470314533E-2"/>
    <n v="7712"/>
  </r>
  <r>
    <d v="2024-07-29T00:00:00"/>
    <x v="8"/>
    <s v="LinkedIn"/>
    <n v="1845"/>
    <n v="104"/>
    <n v="291024"/>
    <n v="0.28158158777282971"/>
    <n v="37766"/>
    <n v="1741"/>
    <n v="5.9823244818296775E-3"/>
    <n v="8263"/>
  </r>
  <r>
    <d v="2024-07-29T00:00:00"/>
    <x v="8"/>
    <s v="LinkedIn"/>
    <n v="6777"/>
    <n v="981"/>
    <n v="296820"/>
    <n v="0.239205579138872"/>
    <n v="53590"/>
    <n v="5796"/>
    <n v="1.952698605215282E-2"/>
    <n v="6265.666666666667"/>
  </r>
  <r>
    <d v="2024-07-29T00:00:00"/>
    <x v="8"/>
    <s v="YouTube"/>
    <n v="4036"/>
    <n v="591"/>
    <n v="300265"/>
    <n v="0.44219272975538265"/>
    <n v="12563"/>
    <n v="3445"/>
    <n v="1.1473198674504187E-2"/>
    <n v="5539.666666666667"/>
  </r>
  <r>
    <d v="2024-07-29T00:00:00"/>
    <x v="8"/>
    <s v="Twitter"/>
    <n v="6947"/>
    <n v="908"/>
    <n v="306304"/>
    <n v="0.14117673944839121"/>
    <n v="46060"/>
    <n v="6039"/>
    <n v="1.9715707271207691E-2"/>
    <n v="3660.6666666666665"/>
  </r>
  <r>
    <d v="2024-08-05T00:00:00"/>
    <x v="9"/>
    <s v="Instagram"/>
    <n v="3494"/>
    <n v="281"/>
    <n v="309517"/>
    <n v="0.27765518533715428"/>
    <n v="39197"/>
    <n v="3213"/>
    <n v="1.0380689913639638E-2"/>
    <n v="5093.333333333333"/>
  </r>
  <r>
    <d v="2024-08-05T00:00:00"/>
    <x v="9"/>
    <s v="Twitter"/>
    <n v="3719"/>
    <n v="222"/>
    <n v="313014"/>
    <n v="0.2166931830525152"/>
    <n v="13586"/>
    <n v="3497"/>
    <n v="1.1172024254506188E-2"/>
    <n v="4232.333333333333"/>
  </r>
  <r>
    <d v="2024-08-05T00:00:00"/>
    <x v="9"/>
    <s v="YouTube"/>
    <n v="2884"/>
    <n v="341"/>
    <n v="315557"/>
    <n v="0.46999749649033296"/>
    <n v="26087"/>
    <n v="2543"/>
    <n v="8.058765928184131E-3"/>
    <n v="4249.666666666667"/>
  </r>
  <r>
    <d v="2024-08-05T00:00:00"/>
    <x v="9"/>
    <s v="LinkedIn"/>
    <n v="5349"/>
    <n v="502"/>
    <n v="320404"/>
    <n v="5.2152906954969352E-2"/>
    <n v="58868"/>
    <n v="4847"/>
    <n v="1.5127776182569505E-2"/>
    <n v="3084.3333333333335"/>
  </r>
  <r>
    <d v="2024-08-12T00:00:00"/>
    <x v="10"/>
    <s v="Twitter"/>
    <n v="6179"/>
    <n v="384"/>
    <n v="326199"/>
    <n v="0.14712184893270672"/>
    <n v="33225"/>
    <n v="5795"/>
    <n v="1.7765229200580015E-2"/>
    <n v="3629"/>
  </r>
  <r>
    <d v="2024-08-12T00:00:00"/>
    <x v="10"/>
    <s v="Instagram"/>
    <n v="7610"/>
    <n v="757"/>
    <n v="333052"/>
    <n v="0.44450416151231642"/>
    <n v="39750"/>
    <n v="6853"/>
    <n v="2.0576366453286574E-2"/>
    <n v="4395"/>
  </r>
  <r>
    <d v="2024-08-12T00:00:00"/>
    <x v="10"/>
    <s v="YouTube"/>
    <n v="7430"/>
    <n v="397"/>
    <n v="340085"/>
    <n v="0.28065042562888687"/>
    <n v="16643"/>
    <n v="7033"/>
    <n v="2.0680124086625402E-2"/>
    <n v="5831.666666666667"/>
  </r>
  <r>
    <d v="2024-08-12T00:00:00"/>
    <x v="10"/>
    <s v="Twitter"/>
    <n v="8154"/>
    <n v="1149"/>
    <n v="347090"/>
    <n v="0.26003918292085632"/>
    <n v="37523"/>
    <n v="7005"/>
    <n v="2.0182085338096747E-2"/>
    <n v="6560.333333333333"/>
  </r>
  <r>
    <d v="2024-08-19T00:00:00"/>
    <x v="11"/>
    <s v="Instagram"/>
    <n v="7488"/>
    <n v="568"/>
    <n v="354010"/>
    <n v="0.13477302901047991"/>
    <n v="46727"/>
    <n v="6920"/>
    <n v="1.9547470410440384E-2"/>
    <n v="6963.666666666667"/>
  </r>
  <r>
    <d v="2024-08-19T00:00:00"/>
    <x v="11"/>
    <s v="YouTube"/>
    <n v="5737"/>
    <n v="666"/>
    <n v="359081"/>
    <n v="4.6034181702735592E-2"/>
    <n v="21005"/>
    <n v="5071"/>
    <n v="1.4122161852061233E-2"/>
    <n v="6986"/>
  </r>
  <r>
    <d v="2024-08-19T00:00:00"/>
    <x v="11"/>
    <s v="Instagram"/>
    <n v="7525"/>
    <n v="610"/>
    <n v="365996"/>
    <n v="5.7694619613329105E-2"/>
    <n v="53543"/>
    <n v="6915"/>
    <n v="1.8893649110919244E-2"/>
    <n v="6332"/>
  </r>
  <r>
    <d v="2024-08-19T00:00:00"/>
    <x v="11"/>
    <s v="YouTube"/>
    <n v="4850"/>
    <n v="494"/>
    <n v="370352"/>
    <n v="0.2046539508359615"/>
    <n v="10161"/>
    <n v="4356"/>
    <n v="1.176178338445587E-2"/>
    <n v="6302"/>
  </r>
  <r>
    <d v="2024-08-26T00:00:00"/>
    <x v="12"/>
    <s v="LinkedIn"/>
    <n v="1689"/>
    <n v="176"/>
    <n v="371865"/>
    <n v="0.3801218184018394"/>
    <n v="26029"/>
    <n v="1513"/>
    <n v="4.068680838476329E-3"/>
    <n v="5447.333333333333"/>
  </r>
  <r>
    <d v="2024-08-26T00:00:00"/>
    <x v="12"/>
    <s v="Twitter"/>
    <n v="6175"/>
    <n v="422"/>
    <n v="377618"/>
    <n v="0.3786101298137271"/>
    <n v="59745"/>
    <n v="5753"/>
    <n v="1.523497290913039E-2"/>
    <n v="4261.333333333333"/>
  </r>
  <r>
    <d v="2024-08-26T00:00:00"/>
    <x v="12"/>
    <s v="Instagram"/>
    <n v="9648"/>
    <n v="1417"/>
    <n v="385849"/>
    <n v="3.6633501706626166E-2"/>
    <n v="24226"/>
    <n v="8231"/>
    <n v="2.1332179168534842E-2"/>
    <n v="3874"/>
  </r>
  <r>
    <d v="2024-08-26T00:00:00"/>
    <x v="12"/>
    <s v="YouTube"/>
    <n v="6078"/>
    <n v="775"/>
    <n v="391152"/>
    <n v="0.37760512537325641"/>
    <n v="38731"/>
    <n v="5303"/>
    <n v="1.3557389454738823E-2"/>
    <n v="5165.666666666667"/>
  </r>
  <r>
    <d v="2024-09-02T00:00:00"/>
    <x v="13"/>
    <s v="Instagram"/>
    <n v="6448"/>
    <n v="928"/>
    <n v="396672"/>
    <n v="0.3011858664085188"/>
    <n v="53922"/>
    <n v="5520"/>
    <n v="1.3915779283639884E-2"/>
    <n v="6429"/>
  </r>
  <r>
    <d v="2024-09-02T00:00:00"/>
    <x v="13"/>
    <s v="Instagram"/>
    <n v="2179"/>
    <n v="303"/>
    <n v="398548"/>
    <n v="0.3390984272910666"/>
    <n v="54848"/>
    <n v="1876"/>
    <n v="4.7070867248110645E-3"/>
    <n v="6351.333333333333"/>
  </r>
  <r>
    <d v="2024-09-02T00:00:00"/>
    <x v="13"/>
    <s v="Twitter"/>
    <n v="7406"/>
    <n v="813"/>
    <n v="405141"/>
    <n v="0.2445741112353477"/>
    <n v="13390"/>
    <n v="6593"/>
    <n v="1.6273346810122897E-2"/>
    <n v="4233"/>
  </r>
  <r>
    <d v="2024-09-02T00:00:00"/>
    <x v="13"/>
    <s v="LinkedIn"/>
    <n v="9591"/>
    <n v="1363"/>
    <n v="413369"/>
    <n v="0.1049425573760974"/>
    <n v="15997"/>
    <n v="8228"/>
    <n v="1.9904734026983156E-2"/>
    <n v="4663"/>
  </r>
  <r>
    <d v="2024-09-09T00:00:00"/>
    <x v="14"/>
    <s v="Instagram"/>
    <n v="7907"/>
    <n v="465"/>
    <n v="420811"/>
    <n v="0.3325744811803874"/>
    <n v="22693"/>
    <n v="7442"/>
    <n v="1.76848989213685E-2"/>
    <n v="5565.666666666667"/>
  </r>
  <r>
    <d v="2024-09-09T00:00:00"/>
    <x v="14"/>
    <s v="YouTube"/>
    <n v="9800"/>
    <n v="682"/>
    <n v="429929"/>
    <n v="6.2966210699906267E-2"/>
    <n v="59815"/>
    <n v="9118"/>
    <n v="2.1208152974095722E-2"/>
    <n v="7421"/>
  </r>
  <r>
    <d v="2024-09-09T00:00:00"/>
    <x v="14"/>
    <s v="YouTube"/>
    <n v="2638"/>
    <n v="143"/>
    <n v="432424"/>
    <n v="6.9547481175882928E-2"/>
    <n v="52092"/>
    <n v="2495"/>
    <n v="5.7698000111002165E-3"/>
    <n v="8262.6666666666661"/>
  </r>
  <r>
    <d v="2024-09-09T00:00:00"/>
    <x v="14"/>
    <s v="LinkedIn"/>
    <n v="6671"/>
    <n v="550"/>
    <n v="438545"/>
    <n v="0.17750287883797561"/>
    <n v="10541"/>
    <n v="6121"/>
    <n v="1.3957518612685129E-2"/>
    <n v="6351.666666666667"/>
  </r>
  <r>
    <d v="2024-09-16T00:00:00"/>
    <x v="15"/>
    <s v="YouTube"/>
    <n v="7928"/>
    <n v="704"/>
    <n v="445769"/>
    <n v="0.11194362999670229"/>
    <n v="31817"/>
    <n v="7224"/>
    <n v="1.6205702953772022E-2"/>
    <n v="5911.333333333333"/>
  </r>
  <r>
    <d v="2024-09-16T00:00:00"/>
    <x v="15"/>
    <s v="LinkedIn"/>
    <n v="2382"/>
    <n v="183"/>
    <n v="447968"/>
    <n v="4.7335970426459033E-2"/>
    <n v="47861"/>
    <n v="2199"/>
    <n v="4.9088327737695546E-3"/>
    <n v="5280"/>
  </r>
  <r>
    <d v="2024-09-16T00:00:00"/>
    <x v="15"/>
    <s v="YouTube"/>
    <n v="2403"/>
    <n v="319"/>
    <n v="450052"/>
    <n v="0.29921209104725682"/>
    <n v="23428"/>
    <n v="2084"/>
    <n v="4.6305760223263092E-3"/>
    <n v="5181.333333333333"/>
  </r>
  <r>
    <d v="2024-09-16T00:00:00"/>
    <x v="15"/>
    <s v="Twitter"/>
    <n v="4292"/>
    <n v="367"/>
    <n v="453977"/>
    <n v="3.503701729382766E-2"/>
    <n v="53934"/>
    <n v="3925"/>
    <n v="8.6458124530537899E-3"/>
    <n v="3835.6666666666665"/>
  </r>
  <r>
    <d v="2024-09-23T00:00:00"/>
    <x v="16"/>
    <s v="Instagram"/>
    <n v="1419"/>
    <n v="110"/>
    <n v="455286"/>
    <n v="0.31554451487636337"/>
    <n v="58831"/>
    <n v="1309"/>
    <n v="2.8751158612388694E-3"/>
    <n v="2736"/>
  </r>
  <r>
    <d v="2024-09-23T00:00:00"/>
    <x v="16"/>
    <s v="Twitter"/>
    <n v="5517"/>
    <n v="575"/>
    <n v="460228"/>
    <n v="0.29458442337276308"/>
    <n v="20258"/>
    <n v="4942"/>
    <n v="1.07381558705685E-2"/>
    <n v="2439.3333333333335"/>
  </r>
  <r>
    <d v="2024-09-23T00:00:00"/>
    <x v="16"/>
    <s v="Instagram"/>
    <n v="4302"/>
    <n v="275"/>
    <n v="464255"/>
    <n v="0.1572131694865968"/>
    <n v="26044"/>
    <n v="4027"/>
    <n v="8.6741122874282456E-3"/>
    <n v="3392"/>
  </r>
  <r>
    <d v="2024-09-23T00:00:00"/>
    <x v="16"/>
    <s v="Instagram"/>
    <n v="8857"/>
    <n v="1153"/>
    <n v="471959"/>
    <n v="0.19214592793018037"/>
    <n v="39411"/>
    <n v="7704"/>
    <n v="1.6323451825264481E-2"/>
    <n v="3426"/>
  </r>
  <r>
    <d v="2024-09-30T00:00:00"/>
    <x v="17"/>
    <s v="Instagram"/>
    <n v="8870"/>
    <n v="509"/>
    <n v="480320"/>
    <n v="0.25077864756828783"/>
    <n v="15469"/>
    <n v="8361"/>
    <n v="1.7407145236508995E-2"/>
    <n v="5557.666666666667"/>
  </r>
  <r>
    <d v="2024-09-30T00:00:00"/>
    <x v="17"/>
    <s v="Twitter"/>
    <n v="6693"/>
    <n v="995"/>
    <n v="486018"/>
    <n v="0.2376187713212268"/>
    <n v="38854"/>
    <n v="5698"/>
    <n v="1.1723845618886543E-2"/>
    <n v="6697.333333333333"/>
  </r>
  <r>
    <d v="2024-09-30T00:00:00"/>
    <x v="17"/>
    <s v="Instagram"/>
    <n v="1767"/>
    <n v="224"/>
    <n v="487561"/>
    <n v="0.13208603641390509"/>
    <n v="16256"/>
    <n v="1543"/>
    <n v="3.1647322078673231E-3"/>
    <n v="7254.333333333333"/>
  </r>
  <r>
    <d v="2024-09-30T00:00:00"/>
    <x v="17"/>
    <s v="Twitter"/>
    <n v="3044"/>
    <n v="212"/>
    <n v="490393"/>
    <n v="8.5343795690395255E-2"/>
    <n v="20720"/>
    <n v="2832"/>
    <n v="5.7749600830354431E-3"/>
    <n v="5200.666666666667"/>
  </r>
  <r>
    <d v="2024-10-07T00:00:00"/>
    <x v="18"/>
    <s v="LinkedIn"/>
    <n v="2549"/>
    <n v="128"/>
    <n v="492814"/>
    <n v="0.1273421615457353"/>
    <n v="43937"/>
    <n v="2421"/>
    <n v="4.9126039438814641E-3"/>
    <n v="3357.6666666666665"/>
  </r>
  <r>
    <d v="2024-10-07T00:00:00"/>
    <x v="18"/>
    <s v="YouTube"/>
    <n v="7140"/>
    <n v="939"/>
    <n v="499015"/>
    <n v="0.25120888149654819"/>
    <n v="43598"/>
    <n v="6201"/>
    <n v="1.2426480165926877E-2"/>
    <n v="2265.3333333333335"/>
  </r>
  <r>
    <d v="2024-10-07T00:00:00"/>
    <x v="18"/>
    <s v="YouTube"/>
    <n v="4716"/>
    <n v="569"/>
    <n v="503162"/>
    <n v="0.25648200778278168"/>
    <n v="11651"/>
    <n v="4147"/>
    <n v="8.2418783612434963E-3"/>
    <n v="3818"/>
  </r>
  <r>
    <d v="2024-10-07T00:00:00"/>
    <x v="18"/>
    <s v="Instagram"/>
    <n v="5481"/>
    <n v="673"/>
    <n v="507970"/>
    <n v="0.13087583912435771"/>
    <n v="29194"/>
    <n v="4808"/>
    <n v="9.4651258932614123E-3"/>
    <n v="4256.333333333333"/>
  </r>
  <r>
    <d v="2024-10-14T00:00:00"/>
    <x v="19"/>
    <s v="Twitter"/>
    <n v="8898"/>
    <n v="1131"/>
    <n v="515737"/>
    <n v="2.1877429775253671E-2"/>
    <n v="35051"/>
    <n v="7767"/>
    <n v="1.5060001512398761E-2"/>
    <n v="5052"/>
  </r>
  <r>
    <d v="2024-10-14T00:00:00"/>
    <x v="19"/>
    <s v="YouTube"/>
    <n v="7548"/>
    <n v="433"/>
    <n v="522852"/>
    <n v="8.3562843787534521E-2"/>
    <n v="37386"/>
    <n v="7115"/>
    <n v="1.3608057347012157E-2"/>
    <n v="5574"/>
  </r>
  <r>
    <d v="2024-10-14T00:00:00"/>
    <x v="19"/>
    <s v="Twitter"/>
    <n v="3293"/>
    <n v="282"/>
    <n v="525863"/>
    <n v="0.2704069310828105"/>
    <n v="19518"/>
    <n v="3011"/>
    <n v="5.7258259280458983E-3"/>
    <n v="6563.333333333333"/>
  </r>
  <r>
    <d v="2024-10-14T00:00:00"/>
    <x v="19"/>
    <s v="Twitter"/>
    <n v="5837"/>
    <n v="359"/>
    <n v="531341"/>
    <n v="6.8073045370110719E-2"/>
    <n v="56026"/>
    <n v="5478"/>
    <n v="1.0309763409938251E-2"/>
    <n v="5964.333333333333"/>
  </r>
  <r>
    <d v="2024-10-21T00:00:00"/>
    <x v="20"/>
    <s v="Instagram"/>
    <n v="8758"/>
    <n v="1193"/>
    <n v="538906"/>
    <n v="3.4213758985797149E-2"/>
    <n v="26184"/>
    <n v="7565"/>
    <n v="1.4037698596786824E-2"/>
    <n v="5201.333333333333"/>
  </r>
  <r>
    <d v="2024-10-21T00:00:00"/>
    <x v="20"/>
    <s v="YouTube"/>
    <n v="7793"/>
    <n v="875"/>
    <n v="545824"/>
    <n v="5.5136820660139529E-2"/>
    <n v="43787"/>
    <n v="6918"/>
    <n v="1.267441519610717E-2"/>
    <n v="5351.333333333333"/>
  </r>
  <r>
    <d v="2024-10-21T00:00:00"/>
    <x v="20"/>
    <s v="Instagram"/>
    <n v="8638"/>
    <n v="717"/>
    <n v="553745"/>
    <n v="0.26921416897669498"/>
    <n v="31621"/>
    <n v="7921"/>
    <n v="1.4304418098583283E-2"/>
    <n v="6653.666666666667"/>
  </r>
  <r>
    <d v="2024-10-21T00:00:00"/>
    <x v="20"/>
    <s v="Instagram"/>
    <n v="8993"/>
    <n v="506"/>
    <n v="562232"/>
    <n v="3.5131404829323129E-2"/>
    <n v="20028"/>
    <n v="8487"/>
    <n v="1.509519202037593E-2"/>
    <n v="7468"/>
  </r>
  <r>
    <d v="2024-10-28T00:00:00"/>
    <x v="21"/>
    <s v="YouTube"/>
    <n v="7007"/>
    <n v="568"/>
    <n v="568671"/>
    <n v="0.1150507059442103"/>
    <n v="22448"/>
    <n v="6439"/>
    <n v="1.1322891443382905E-2"/>
    <n v="7775.333333333333"/>
  </r>
  <r>
    <d v="2024-10-28T00:00:00"/>
    <x v="21"/>
    <s v="YouTube"/>
    <n v="6542"/>
    <n v="539"/>
    <n v="574674"/>
    <n v="6.4069368024305948E-2"/>
    <n v="55253"/>
    <n v="6003"/>
    <n v="1.0445922383821088E-2"/>
    <n v="7615.666666666667"/>
  </r>
  <r>
    <d v="2024-10-28T00:00:00"/>
    <x v="21"/>
    <s v="LinkedIn"/>
    <n v="7356"/>
    <n v="904"/>
    <n v="581126"/>
    <n v="0.1756090761728093"/>
    <n v="44051"/>
    <n v="6452"/>
    <n v="1.1102583604932494E-2"/>
    <n v="6976.333333333333"/>
  </r>
  <r>
    <d v="2024-10-28T00:00:00"/>
    <x v="21"/>
    <s v="LinkedIn"/>
    <n v="9433"/>
    <n v="1073"/>
    <n v="589486"/>
    <n v="7.2934726185185053E-2"/>
    <n v="59811"/>
    <n v="8360"/>
    <n v="1.4181846557848703E-2"/>
    <n v="6298"/>
  </r>
  <r>
    <d v="2024-11-04T00:00:00"/>
    <x v="22"/>
    <s v="Twitter"/>
    <n v="8380"/>
    <n v="1162"/>
    <n v="596704"/>
    <n v="0.18058534884968089"/>
    <n v="40447"/>
    <n v="7218"/>
    <n v="1.2096449831072022E-2"/>
    <n v="6938.333333333333"/>
  </r>
  <r>
    <d v="2024-11-04T00:00:00"/>
    <x v="22"/>
    <s v="YouTube"/>
    <n v="3385"/>
    <n v="329"/>
    <n v="599760"/>
    <n v="0.17617880485527551"/>
    <n v="28394"/>
    <n v="3056"/>
    <n v="5.0953714819261036E-3"/>
    <n v="7343.333333333333"/>
  </r>
  <r>
    <d v="2024-11-04T00:00:00"/>
    <x v="22"/>
    <s v="LinkedIn"/>
    <n v="5268"/>
    <n v="326"/>
    <n v="604702"/>
    <n v="0.23435841125050028"/>
    <n v="44501"/>
    <n v="4942"/>
    <n v="8.1726205635172366E-3"/>
    <n v="6211.333333333333"/>
  </r>
  <r>
    <d v="2024-11-04T00:00:00"/>
    <x v="22"/>
    <s v="Twitter"/>
    <n v="1671"/>
    <n v="202"/>
    <n v="606171"/>
    <n v="0.15150015424690388"/>
    <n v="40254"/>
    <n v="1469"/>
    <n v="2.4234085761278583E-3"/>
    <n v="5072"/>
  </r>
  <r>
    <d v="2024-11-11T00:00:00"/>
    <x v="23"/>
    <s v="Twitter"/>
    <n v="1163"/>
    <n v="146"/>
    <n v="607188"/>
    <n v="0.2177776899411715"/>
    <n v="28509"/>
    <n v="1017"/>
    <n v="1.6749342872388782E-3"/>
    <n v="3155.6666666666665"/>
  </r>
  <r>
    <d v="2024-11-11T00:00:00"/>
    <x v="23"/>
    <s v="Twitter"/>
    <n v="9656"/>
    <n v="1024"/>
    <n v="615820"/>
    <n v="8.7252768666168684E-2"/>
    <n v="58998"/>
    <n v="8632"/>
    <n v="1.401708291383846E-2"/>
    <n v="2476"/>
  </r>
  <r>
    <d v="2024-11-11T00:00:00"/>
    <x v="23"/>
    <s v="LinkedIn"/>
    <n v="5592"/>
    <n v="710"/>
    <n v="620702"/>
    <n v="9.0711806954061697E-2"/>
    <n v="24472"/>
    <n v="4882"/>
    <n v="7.8652880126050834E-3"/>
    <n v="3706"/>
  </r>
  <r>
    <d v="2024-11-11T00:00:00"/>
    <x v="23"/>
    <s v="YouTube"/>
    <n v="5795"/>
    <n v="575"/>
    <n v="625922"/>
    <n v="3.0908004511744268E-2"/>
    <n v="55657"/>
    <n v="5220"/>
    <n v="8.3396972785746461E-3"/>
    <n v="4843.666666666667"/>
  </r>
  <r>
    <d v="2024-11-18T00:00:00"/>
    <x v="24"/>
    <s v="Instagram"/>
    <n v="5798"/>
    <n v="592"/>
    <n v="631128"/>
    <n v="1.6774727155188809E-2"/>
    <n v="13471"/>
    <n v="5206"/>
    <n v="8.2487229214992831E-3"/>
    <n v="6244.666666666667"/>
  </r>
  <r>
    <d v="2024-11-18T00:00:00"/>
    <x v="24"/>
    <s v="Twitter"/>
    <n v="7036"/>
    <n v="652"/>
    <n v="637512"/>
    <n v="3.5705994553828009E-2"/>
    <n v="51796"/>
    <n v="6384"/>
    <n v="1.0013929149568949E-2"/>
    <n v="5102.666666666667"/>
  </r>
  <r>
    <d v="2024-11-18T00:00:00"/>
    <x v="24"/>
    <s v="LinkedIn"/>
    <n v="3355"/>
    <n v="176"/>
    <n v="640691"/>
    <n v="0.12426427091999111"/>
    <n v="40268"/>
    <n v="3179"/>
    <n v="4.9618302738761748E-3"/>
    <n v="5603.333333333333"/>
  </r>
  <r>
    <d v="2024-11-18T00:00:00"/>
    <x v="24"/>
    <s v="LinkedIn"/>
    <n v="6887"/>
    <n v="418"/>
    <n v="647160"/>
    <n v="0.20240280610668152"/>
    <n v="18329"/>
    <n v="6469"/>
    <n v="9.9959824463811114E-3"/>
    <n v="4923"/>
  </r>
  <r>
    <d v="2024-11-25T00:00:00"/>
    <x v="25"/>
    <s v="Instagram"/>
    <n v="8961"/>
    <n v="476"/>
    <n v="655645"/>
    <n v="0.15458517947974901"/>
    <n v="44865"/>
    <n v="8485"/>
    <n v="1.2941454598143812E-2"/>
    <n v="5344"/>
  </r>
  <r>
    <d v="2024-11-25T00:00:00"/>
    <x v="25"/>
    <s v="Instagram"/>
    <n v="6827"/>
    <n v="775"/>
    <n v="661697"/>
    <n v="0.15966220188394389"/>
    <n v="56850"/>
    <n v="6052"/>
    <n v="9.1461802003031598E-3"/>
    <n v="6044.333333333333"/>
  </r>
  <r>
    <d v="2024-11-25T00:00:00"/>
    <x v="25"/>
    <s v="LinkedIn"/>
    <n v="9737"/>
    <n v="792"/>
    <n v="670642"/>
    <n v="5.301785453341723E-2"/>
    <n v="56698"/>
    <n v="8945"/>
    <n v="1.3337965710468476E-2"/>
    <n v="7002"/>
  </r>
  <r>
    <d v="2024-11-25T00:00:00"/>
    <x v="25"/>
    <s v="YouTube"/>
    <n v="5719"/>
    <n v="576"/>
    <n v="675785"/>
    <n v="0.1021656296011305"/>
    <n v="38272"/>
    <n v="5143"/>
    <n v="7.6104086358827145E-3"/>
    <n v="7827.333333333333"/>
  </r>
  <r>
    <d v="2024-12-02T00:00:00"/>
    <x v="26"/>
    <s v="Instagram"/>
    <n v="1593"/>
    <n v="224"/>
    <n v="677154"/>
    <n v="4.1495730660972251E-2"/>
    <n v="52845"/>
    <n v="1369"/>
    <n v="2.0216966893793729E-3"/>
    <n v="6713.333333333333"/>
  </r>
  <r>
    <d v="2024-12-02T00:00:00"/>
    <x v="26"/>
    <s v="LinkedIn"/>
    <n v="5839"/>
    <n v="437"/>
    <n v="682556"/>
    <n v="0.1744750613869045"/>
    <n v="16397"/>
    <n v="5402"/>
    <n v="7.9143689309009082E-3"/>
    <n v="5152.333333333333"/>
  </r>
  <r>
    <d v="2024-12-02T00:00:00"/>
    <x v="26"/>
    <s v="Instagram"/>
    <n v="8394"/>
    <n v="764"/>
    <n v="690186"/>
    <n v="6.355678034616756E-2"/>
    <n v="42373"/>
    <n v="7630"/>
    <n v="1.1054990973447738E-2"/>
    <n v="3971.3333333333335"/>
  </r>
  <r>
    <d v="2024-12-02T00:00:00"/>
    <x v="26"/>
    <s v="YouTube"/>
    <n v="4493"/>
    <n v="564"/>
    <n v="694115"/>
    <n v="0.16625487131094988"/>
    <n v="45525"/>
    <n v="3929"/>
    <n v="5.660445315257558E-3"/>
    <n v="4800.333333333333"/>
  </r>
  <r>
    <d v="2024-12-09T00:00:00"/>
    <x v="27"/>
    <s v="Twitter"/>
    <n v="7164"/>
    <n v="522"/>
    <n v="700757"/>
    <n v="0.13449169969047761"/>
    <n v="34570"/>
    <n v="6642"/>
    <n v="9.4783213011072308E-3"/>
    <n v="5653.666666666667"/>
  </r>
  <r>
    <d v="2024-12-09T00:00:00"/>
    <x v="27"/>
    <s v="Instagram"/>
    <n v="3672"/>
    <n v="211"/>
    <n v="704218"/>
    <n v="0.1235057894004413"/>
    <n v="28284"/>
    <n v="3461"/>
    <n v="4.9146713091684675E-3"/>
    <n v="6067"/>
  </r>
  <r>
    <d v="2024-12-09T00:00:00"/>
    <x v="27"/>
    <s v="YouTube"/>
    <n v="5200"/>
    <n v="410"/>
    <n v="709008"/>
    <n v="0.12913394489201821"/>
    <n v="28994"/>
    <n v="4790"/>
    <n v="6.7559181278631555E-3"/>
    <n v="4677.333333333333"/>
  </r>
  <r>
    <d v="2024-12-09T00:00:00"/>
    <x v="27"/>
    <s v="LinkedIn"/>
    <n v="1016"/>
    <n v="67"/>
    <n v="709957"/>
    <n v="0.20774215903216672"/>
    <n v="33284"/>
    <n v="949"/>
    <n v="1.3367006734210664E-3"/>
    <n v="4964.333333333333"/>
  </r>
  <r>
    <d v="2024-12-16T00:00:00"/>
    <x v="28"/>
    <s v="Instagram"/>
    <n v="4191"/>
    <n v="599"/>
    <n v="713549"/>
    <n v="0.11564167282134789"/>
    <n v="27833"/>
    <n v="3592"/>
    <n v="5.033992059410076E-3"/>
    <n v="3066.6666666666665"/>
  </r>
  <r>
    <d v="2024-12-16T00:00:00"/>
    <x v="28"/>
    <s v="Instagram"/>
    <n v="1392"/>
    <n v="182"/>
    <n v="714759"/>
    <n v="5.9603306848881932E-2"/>
    <n v="35122"/>
    <n v="1210"/>
    <n v="1.6928782988391892E-3"/>
    <n v="3110.3333333333335"/>
  </r>
  <r>
    <d v="2024-12-16T00:00:00"/>
    <x v="28"/>
    <s v="LinkedIn"/>
    <n v="9616"/>
    <n v="1089"/>
    <n v="723286"/>
    <n v="0.19258633514266829"/>
    <n v="15017"/>
    <n v="8527"/>
    <n v="1.178925072516266E-2"/>
    <n v="1917"/>
  </r>
  <r>
    <d v="2024-12-16T00:00:00"/>
    <x v="28"/>
    <s v="Twitter"/>
    <n v="7272"/>
    <n v="997"/>
    <n v="729561"/>
    <n v="0.13428486445958598"/>
    <n v="26370"/>
    <n v="6275"/>
    <n v="8.6010628309353167E-3"/>
    <n v="4443"/>
  </r>
  <r>
    <d v="2024-12-23T00:00:00"/>
    <x v="29"/>
    <s v="LinkedIn"/>
    <n v="1571"/>
    <n v="204"/>
    <n v="730928"/>
    <n v="0.1944938489153514"/>
    <n v="39252"/>
    <n v="1367"/>
    <n v="1.8702252479040344E-3"/>
    <n v="5337.333333333333"/>
  </r>
  <r>
    <d v="2024-12-23T00:00:00"/>
    <x v="29"/>
    <s v="Instagram"/>
    <n v="4631"/>
    <n v="317"/>
    <n v="735242"/>
    <n v="1.381177897889402E-2"/>
    <n v="17999"/>
    <n v="4314"/>
    <n v="5.8674558852731479E-3"/>
    <n v="5389.666666666667"/>
  </r>
  <r>
    <d v="2024-12-23T00:00:00"/>
    <x v="29"/>
    <s v="LinkedIn"/>
    <n v="7172"/>
    <n v="998"/>
    <n v="741416"/>
    <n v="0.18066780323057499"/>
    <n v="32436"/>
    <n v="6174"/>
    <n v="8.32730882527488E-3"/>
    <n v="3985.3333333333335"/>
  </r>
  <r>
    <d v="2024-12-23T00:00:00"/>
    <x v="29"/>
    <s v="YouTube"/>
    <n v="8177"/>
    <n v="849"/>
    <n v="748744"/>
    <n v="0.1034986590877523"/>
    <n v="52963"/>
    <n v="7328"/>
    <n v="9.7870567243276748E-3"/>
    <n v="3951.6666666666665"/>
  </r>
  <r>
    <d v="2024-12-30T00:00:00"/>
    <x v="30"/>
    <s v="LinkedIn"/>
    <n v="9433"/>
    <n v="1233"/>
    <n v="756944"/>
    <n v="0.1139172778963833"/>
    <n v="12096"/>
    <n v="8200"/>
    <n v="1.0833033883616226E-2"/>
    <n v="5938.666666666667"/>
  </r>
  <r>
    <d v="2024-12-30T00:00:00"/>
    <x v="30"/>
    <s v="Instagram"/>
    <n v="4897"/>
    <n v="683"/>
    <n v="761158"/>
    <n v="0.15062312949479609"/>
    <n v="58201"/>
    <n v="4214"/>
    <n v="5.5363012672795921E-3"/>
    <n v="7234"/>
  </r>
  <r>
    <d v="2024-12-30T00:00:00"/>
    <x v="30"/>
    <s v="LinkedIn"/>
    <n v="9123"/>
    <n v="746"/>
    <n v="769535"/>
    <n v="6.3086149427901264E-2"/>
    <n v="35279"/>
    <n v="8377"/>
    <n v="1.0885794668208723E-2"/>
    <n v="6580.666666666667"/>
  </r>
  <r>
    <d v="2024-12-30T00:00:00"/>
    <x v="30"/>
    <s v="Twitter"/>
    <n v="3279"/>
    <n v="200"/>
    <n v="772614"/>
    <n v="5.0212654702089271E-2"/>
    <n v="53363"/>
    <n v="3079"/>
    <n v="3.9851724146857288E-3"/>
    <n v="6930.333333333333"/>
  </r>
  <r>
    <d v="2025-01-06T00:00:00"/>
    <x v="31"/>
    <s v="LinkedIn"/>
    <n v="9980"/>
    <n v="726"/>
    <n v="781868"/>
    <n v="4.0220344099003921E-2"/>
    <n v="58709"/>
    <n v="9254"/>
    <n v="1.1835757442432739E-2"/>
    <n v="5223.333333333333"/>
  </r>
  <r>
    <d v="2025-01-06T00:00:00"/>
    <x v="31"/>
    <s v="Twitter"/>
    <n v="8451"/>
    <n v="783"/>
    <n v="789536"/>
    <n v="0.1240728731812102"/>
    <n v="36201"/>
    <n v="7668"/>
    <n v="9.7120333968305442E-3"/>
    <n v="6903.333333333333"/>
  </r>
  <r>
    <d v="2025-01-06T00:00:00"/>
    <x v="31"/>
    <s v="YouTube"/>
    <n v="9906"/>
    <n v="1305"/>
    <n v="798137"/>
    <n v="9.1811305577864447E-2"/>
    <n v="29715"/>
    <n v="8601"/>
    <n v="1.0776345414383746E-2"/>
    <n v="6667"/>
  </r>
  <r>
    <d v="2025-01-06T00:00:00"/>
    <x v="31"/>
    <s v="Twitter"/>
    <n v="1775"/>
    <n v="241"/>
    <n v="799671"/>
    <n v="8.1379717408784358E-2"/>
    <n v="39309"/>
    <n v="1534"/>
    <n v="1.918288896308607E-3"/>
    <n v="8507.6666666666661"/>
  </r>
  <r>
    <d v="2025-01-13T00:00:00"/>
    <x v="32"/>
    <s v="LinkedIn"/>
    <n v="7869"/>
    <n v="398"/>
    <n v="807142"/>
    <n v="0.1521194535781808"/>
    <n v="25078"/>
    <n v="7471"/>
    <n v="9.2561160241940079E-3"/>
    <n v="5934.333333333333"/>
  </r>
  <r>
    <d v="2025-01-13T00:00:00"/>
    <x v="32"/>
    <s v="Instagram"/>
    <n v="3247"/>
    <n v="328"/>
    <n v="810061"/>
    <n v="0.139411723314664"/>
    <n v="15105"/>
    <n v="2919"/>
    <n v="3.6034323341081723E-3"/>
    <n v="5868.666666666667"/>
  </r>
  <r>
    <d v="2025-01-13T00:00:00"/>
    <x v="32"/>
    <s v="Twitter"/>
    <n v="8088"/>
    <n v="742"/>
    <n v="817407"/>
    <n v="0.146645428776607"/>
    <n v="39312"/>
    <n v="7346"/>
    <n v="8.9869550909155421E-3"/>
    <n v="3974.6666666666665"/>
  </r>
  <r>
    <d v="2025-01-13T00:00:00"/>
    <x v="32"/>
    <s v="YouTube"/>
    <n v="1078"/>
    <n v="77"/>
    <n v="818408"/>
    <n v="0.18236747441373991"/>
    <n v="12839"/>
    <n v="1001"/>
    <n v="1.2231063234963489E-3"/>
    <n v="5912"/>
  </r>
  <r>
    <d v="2025-01-20T00:00:00"/>
    <x v="33"/>
    <s v="Twitter"/>
    <n v="9080"/>
    <n v="562"/>
    <n v="826926"/>
    <n v="7.1083748727213805E-2"/>
    <n v="13384"/>
    <n v="8518"/>
    <n v="1.0300800797169276E-2"/>
    <n v="3755.3333333333335"/>
  </r>
  <r>
    <d v="2025-01-20T00:00:00"/>
    <x v="33"/>
    <s v="Twitter"/>
    <n v="8099"/>
    <n v="678"/>
    <n v="834347"/>
    <n v="7.6464588474579515E-2"/>
    <n v="53619"/>
    <n v="7421"/>
    <n v="8.8943808751035247E-3"/>
    <n v="5621.666666666667"/>
  </r>
  <r>
    <d v="2025-01-20T00:00:00"/>
    <x v="33"/>
    <s v="Twitter"/>
    <n v="4926"/>
    <n v="710"/>
    <n v="838563"/>
    <n v="0.12962174577223182"/>
    <n v="52821"/>
    <n v="4216"/>
    <n v="5.0276484891415433E-3"/>
    <n v="5646.666666666667"/>
  </r>
  <r>
    <d v="2025-01-20T00:00:00"/>
    <x v="33"/>
    <s v="YouTube"/>
    <n v="8340"/>
    <n v="686"/>
    <n v="846217"/>
    <n v="7.2013443360272836E-2"/>
    <n v="23493"/>
    <n v="7654"/>
    <n v="9.0449612806171465E-3"/>
    <n v="6718.333333333333"/>
  </r>
  <r>
    <d v="2025-01-27T00:00:00"/>
    <x v="34"/>
    <s v="LinkedIn"/>
    <n v="8083"/>
    <n v="823"/>
    <n v="853477"/>
    <n v="4.6300017457998284E-2"/>
    <n v="27069"/>
    <n v="7260"/>
    <n v="8.5063803711172073E-3"/>
    <n v="6430.333333333333"/>
  </r>
  <r>
    <d v="2025-01-27T00:00:00"/>
    <x v="34"/>
    <s v="Twitter"/>
    <n v="7230"/>
    <n v="869"/>
    <n v="859838"/>
    <n v="7.0117859410726208E-2"/>
    <n v="56907"/>
    <n v="6361"/>
    <n v="7.397905186791E-3"/>
    <n v="6376.666666666667"/>
  </r>
  <r>
    <d v="2025-01-27T00:00:00"/>
    <x v="34"/>
    <s v="Twitter"/>
    <n v="5940"/>
    <n v="512"/>
    <n v="865266"/>
    <n v="0.157972230504839"/>
    <n v="17531"/>
    <n v="5428"/>
    <n v="6.2732154042803023E-3"/>
    <n v="7091.666666666667"/>
  </r>
  <r>
    <d v="2025-01-27T00:00:00"/>
    <x v="34"/>
    <s v="Instagram"/>
    <n v="4271"/>
    <n v="628"/>
    <n v="868909"/>
    <n v="0.11124410036033691"/>
    <n v="47051"/>
    <n v="3643"/>
    <n v="4.1926139561219876E-3"/>
    <n v="6349.666666666667"/>
  </r>
  <r>
    <d v="2025-02-03T00:00:00"/>
    <x v="35"/>
    <s v="YouTube"/>
    <n v="4456"/>
    <n v="651"/>
    <n v="872714"/>
    <n v="9.5052903929580601E-2"/>
    <n v="17736"/>
    <n v="3805"/>
    <n v="4.3599621410908961E-3"/>
    <n v="5144"/>
  </r>
  <r>
    <d v="2025-02-03T00:00:00"/>
    <x v="35"/>
    <s v="Twitter"/>
    <n v="8788"/>
    <n v="660"/>
    <n v="880842"/>
    <n v="3.7175793161543159E-2"/>
    <n v="17710"/>
    <n v="8128"/>
    <n v="9.2275345635199051E-3"/>
    <n v="4292"/>
  </r>
  <r>
    <d v="2025-02-03T00:00:00"/>
    <x v="35"/>
    <s v="YouTube"/>
    <n v="9599"/>
    <n v="957"/>
    <n v="889484"/>
    <n v="8.7680048207724931E-2"/>
    <n v="11619"/>
    <n v="8642"/>
    <n v="9.7157453085159485E-3"/>
    <n v="5192"/>
  </r>
  <r>
    <d v="2025-02-03T00:00:00"/>
    <x v="35"/>
    <s v="Twitter"/>
    <n v="8650"/>
    <n v="692"/>
    <n v="897442"/>
    <n v="7.6673478620345376E-2"/>
    <n v="23975"/>
    <n v="7958"/>
    <n v="8.8674254157928862E-3"/>
    <n v="6858.333333333333"/>
  </r>
  <r>
    <d v="2025-02-10T00:00:00"/>
    <x v="36"/>
    <s v="LinkedIn"/>
    <n v="3711"/>
    <n v="291"/>
    <n v="900862"/>
    <n v="0.14248797263065818"/>
    <n v="55603"/>
    <n v="3420"/>
    <n v="3.7963639269943676E-3"/>
    <n v="8242.6666666666661"/>
  </r>
  <r>
    <d v="2025-02-10T00:00:00"/>
    <x v="36"/>
    <s v="LinkedIn"/>
    <n v="2668"/>
    <n v="143"/>
    <n v="903387"/>
    <n v="0.15903372530266649"/>
    <n v="33252"/>
    <n v="2525"/>
    <n v="2.795036900021807E-3"/>
    <n v="6673.333333333333"/>
  </r>
  <r>
    <d v="2025-02-10T00:00:00"/>
    <x v="36"/>
    <s v="Twitter"/>
    <n v="1147"/>
    <n v="127"/>
    <n v="904407"/>
    <n v="1.3997016829812241E-2"/>
    <n v="25261"/>
    <n v="1020"/>
    <n v="1.1278108196862695E-3"/>
    <n v="4634.333333333333"/>
  </r>
  <r>
    <d v="2025-02-10T00:00:00"/>
    <x v="36"/>
    <s v="LinkedIn"/>
    <n v="7420"/>
    <n v="743"/>
    <n v="911084"/>
    <n v="0.1059353473444819"/>
    <n v="11431"/>
    <n v="6677"/>
    <n v="7.3286327056561193E-3"/>
    <n v="2321.6666666666665"/>
  </r>
  <r>
    <d v="2025-02-17T00:00:00"/>
    <x v="37"/>
    <s v="Twitter"/>
    <n v="1365"/>
    <n v="75"/>
    <n v="912374"/>
    <n v="9.2688963078737446E-2"/>
    <n v="19067"/>
    <n v="1290"/>
    <n v="1.4138938637006315E-3"/>
    <n v="3407.3333333333335"/>
  </r>
  <r>
    <d v="2025-02-17T00:00:00"/>
    <x v="37"/>
    <s v="LinkedIn"/>
    <n v="5531"/>
    <n v="430"/>
    <n v="917475"/>
    <n v="2.728902694896319E-2"/>
    <n v="47481"/>
    <n v="5101"/>
    <n v="5.5598245183792472E-3"/>
    <n v="2995.6666666666665"/>
  </r>
  <r>
    <d v="2025-02-17T00:00:00"/>
    <x v="37"/>
    <s v="Instagram"/>
    <n v="6330"/>
    <n v="891"/>
    <n v="922914"/>
    <n v="0.14789893749580141"/>
    <n v="37037"/>
    <n v="5439"/>
    <n v="5.8932901657142486E-3"/>
    <n v="4356"/>
  </r>
  <r>
    <d v="2025-02-17T00:00:00"/>
    <x v="37"/>
    <s v="Instagram"/>
    <n v="6510"/>
    <n v="481"/>
    <n v="928943"/>
    <n v="2.3800168578696428E-2"/>
    <n v="19557"/>
    <n v="6029"/>
    <n v="6.4901721634158397E-3"/>
    <n v="3943.3333333333335"/>
  </r>
  <r>
    <d v="2025-02-24T00:00:00"/>
    <x v="38"/>
    <s v="Instagram"/>
    <n v="9754"/>
    <n v="629"/>
    <n v="938068"/>
    <n v="3.4123325814333291E-2"/>
    <n v="19435"/>
    <n v="9125"/>
    <n v="9.7274398018054129E-3"/>
    <n v="5523"/>
  </r>
  <r>
    <d v="2025-02-24T00:00:00"/>
    <x v="38"/>
    <s v="YouTube"/>
    <n v="9964"/>
    <n v="985"/>
    <n v="947047"/>
    <n v="1.9837452629066988E-2"/>
    <n v="47766"/>
    <n v="8979"/>
    <n v="9.4810500429228957E-3"/>
    <n v="6864.333333333333"/>
  </r>
  <r>
    <d v="2025-02-24T00:00:00"/>
    <x v="38"/>
    <s v="YouTube"/>
    <n v="7493"/>
    <n v="1113"/>
    <n v="953427"/>
    <n v="0.15684892498324468"/>
    <n v="10162"/>
    <n v="6380"/>
    <n v="6.6916502259743013E-3"/>
    <n v="8044.333333333333"/>
  </r>
  <r>
    <d v="2025-02-24T00:00:00"/>
    <x v="38"/>
    <s v="Instagram"/>
    <n v="6439"/>
    <n v="477"/>
    <n v="959389"/>
    <n v="7.474444672598915E-2"/>
    <n v="44742"/>
    <n v="5962"/>
    <n v="6.2143718554204808E-3"/>
    <n v="8161.333333333333"/>
  </r>
  <r>
    <d v="2025-03-03T00:00:00"/>
    <x v="39"/>
    <s v="YouTube"/>
    <n v="7511"/>
    <n v="880"/>
    <n v="966020"/>
    <n v="4.6083932009689244E-2"/>
    <n v="29675"/>
    <n v="6631"/>
    <n v="6.8642471170369144E-3"/>
    <n v="7107"/>
  </r>
  <r>
    <d v="2025-03-03T00:00:00"/>
    <x v="39"/>
    <s v="LinkedIn"/>
    <n v="8504"/>
    <n v="1072"/>
    <n v="973452"/>
    <n v="6.5651927367759266E-2"/>
    <n v="18461"/>
    <n v="7432"/>
    <n v="7.6346856342171983E-3"/>
    <n v="6324.333333333333"/>
  </r>
  <r>
    <d v="2025-03-03T00:00:00"/>
    <x v="39"/>
    <s v="Twitter"/>
    <n v="2246"/>
    <n v="165"/>
    <n v="975533"/>
    <n v="2.9062061457685192E-2"/>
    <n v="27015"/>
    <n v="2081"/>
    <n v="2.1331928289458173E-3"/>
    <n v="6675"/>
  </r>
  <r>
    <d v="2025-03-03T00:00:00"/>
    <x v="39"/>
    <s v="Twitter"/>
    <n v="4839"/>
    <n v="594"/>
    <n v="979778"/>
    <n v="2.5803804535313103E-2"/>
    <n v="42591"/>
    <n v="4245"/>
    <n v="4.3326141227910814E-3"/>
    <n v="5381.333333333333"/>
  </r>
  <r>
    <d v="2025-03-10T00:00:00"/>
    <x v="40"/>
    <s v="Twitter"/>
    <n v="9551"/>
    <n v="828"/>
    <n v="988501"/>
    <n v="1.5250363934887269E-2"/>
    <n v="38047"/>
    <n v="8723"/>
    <n v="8.8244726105487E-3"/>
    <n v="4586"/>
  </r>
  <r>
    <d v="2025-03-10T00:00:00"/>
    <x v="40"/>
    <s v="Instagram"/>
    <n v="3376"/>
    <n v="382"/>
    <n v="991495"/>
    <n v="3.8694093263203548E-2"/>
    <n v="44782"/>
    <n v="2994"/>
    <n v="3.0196823988018094E-3"/>
    <n v="5016.333333333333"/>
  </r>
  <r>
    <d v="2025-03-10T00:00:00"/>
    <x v="40"/>
    <s v="YouTube"/>
    <n v="4009"/>
    <n v="454"/>
    <n v="995050"/>
    <n v="2.1106477061454201E-2"/>
    <n v="19833"/>
    <n v="3555"/>
    <n v="3.5726847897090599E-3"/>
    <n v="5320.666666666667"/>
  </r>
  <r>
    <d v="2025-03-10T00:00:00"/>
    <x v="40"/>
    <s v="LinkedIn"/>
    <n v="2827"/>
    <n v="292"/>
    <n v="997585"/>
    <n v="2.400497200739787E-2"/>
    <n v="17896"/>
    <n v="2535"/>
    <n v="2.5411368454818384E-3"/>
    <n v="5090.666666666667"/>
  </r>
  <r>
    <d v="2025-03-17T00:00:00"/>
    <x v="41"/>
    <s v="LinkedIn"/>
    <n v="7979"/>
    <n v="470"/>
    <n v="1005094"/>
    <n v="0.1043086517280971"/>
    <n v="42972"/>
    <n v="7509"/>
    <n v="7.4709430162750948E-3"/>
    <n v="3028"/>
  </r>
  <r>
    <d v="2025-03-17T00:00:00"/>
    <x v="41"/>
    <s v="Instagram"/>
    <n v="9569"/>
    <n v="1277"/>
    <n v="1013386"/>
    <n v="0.1245517502708741"/>
    <n v="59733"/>
    <n v="8292"/>
    <n v="8.1824694637581338E-3"/>
    <n v="4533"/>
  </r>
  <r>
    <d v="2025-03-17T00:00:00"/>
    <x v="41"/>
    <s v="LinkedIn"/>
    <n v="5285"/>
    <n v="433"/>
    <n v="1018238"/>
    <n v="8.7022876773406616E-2"/>
    <n v="51800"/>
    <n v="4852"/>
    <n v="4.7650942117658151E-3"/>
    <n v="6112"/>
  </r>
  <r>
    <d v="2025-03-17T00:00:00"/>
    <x v="41"/>
    <s v="LinkedIn"/>
    <n v="7910"/>
    <n v="543"/>
    <n v="1025605"/>
    <n v="6.0590578244060819E-2"/>
    <n v="40508"/>
    <n v="7367"/>
    <n v="7.183077305590359E-3"/>
    <n v="6884.333333333333"/>
  </r>
  <r>
    <d v="2025-03-24T00:00:00"/>
    <x v="42"/>
    <s v="LinkedIn"/>
    <n v="9561"/>
    <n v="517"/>
    <n v="1034649"/>
    <n v="6.4086467971263689E-2"/>
    <n v="15347"/>
    <n v="9044"/>
    <n v="8.741128633961856E-3"/>
    <n v="6837"/>
  </r>
  <r>
    <d v="2025-03-24T00:00:00"/>
    <x v="42"/>
    <s v="LinkedIn"/>
    <n v="3196"/>
    <n v="348"/>
    <n v="1037497"/>
    <n v="0.14030402015620289"/>
    <n v="40314"/>
    <n v="2848"/>
    <n v="2.7450681785103955E-3"/>
    <n v="7087.666666666667"/>
  </r>
  <r>
    <d v="2025-03-24T00:00:00"/>
    <x v="42"/>
    <s v="YouTube"/>
    <n v="4747"/>
    <n v="558"/>
    <n v="1041686"/>
    <n v="5.7680529449373436E-2"/>
    <n v="12643"/>
    <n v="4189"/>
    <n v="4.021365363458854E-3"/>
    <n v="6419.666666666667"/>
  </r>
  <r>
    <d v="2025-03-24T00:00:00"/>
    <x v="42"/>
    <s v="LinkedIn"/>
    <n v="9843"/>
    <n v="508"/>
    <n v="1051021"/>
    <n v="4.2080986012648654E-2"/>
    <n v="50785"/>
    <n v="9335"/>
    <n v="8.8818396587699005E-3"/>
    <n v="5360.333333333333"/>
  </r>
  <r>
    <d v="2025-03-31T00:00:00"/>
    <x v="43"/>
    <s v="Twitter"/>
    <n v="6978"/>
    <n v="706"/>
    <n v="1057293"/>
    <n v="5.057443868445171E-2"/>
    <n v="28681"/>
    <n v="6272"/>
    <n v="5.9321304501212058E-3"/>
    <n v="5457.333333333333"/>
  </r>
  <r>
    <d v="2025-03-31T00:00:00"/>
    <x v="43"/>
    <s v="Instagram"/>
    <n v="6607"/>
    <n v="479"/>
    <n v="1063421"/>
    <n v="5.5892257158735817E-2"/>
    <n v="48328"/>
    <n v="6128"/>
    <n v="5.7625343114345116E-3"/>
    <n v="6598.666666666667"/>
  </r>
  <r>
    <d v="2025-03-31T00:00:00"/>
    <x v="43"/>
    <s v="YouTube"/>
    <n v="1769"/>
    <n v="202"/>
    <n v="1064988"/>
    <n v="6.5457075572682516E-2"/>
    <n v="25892"/>
    <n v="1567"/>
    <n v="1.4713780812553757E-3"/>
    <n v="7245"/>
  </r>
  <r>
    <d v="2025-03-31T00:00:00"/>
    <x v="43"/>
    <s v="LinkedIn"/>
    <n v="1780"/>
    <n v="120"/>
    <n v="1066648"/>
    <n v="0.1386474263299608"/>
    <n v="57299"/>
    <n v="1660"/>
    <n v="1.55627723485161E-3"/>
    <n v="4655.666666666667"/>
  </r>
  <r>
    <d v="2025-04-07T00:00:00"/>
    <x v="44"/>
    <s v="YouTube"/>
    <n v="7303"/>
    <n v="869"/>
    <n v="1073082"/>
    <n v="8.123796690280892E-2"/>
    <n v="27073"/>
    <n v="6434"/>
    <n v="5.9958139266151145E-3"/>
    <n v="3118.3333333333335"/>
  </r>
  <r>
    <d v="2025-04-07T00:00:00"/>
    <x v="44"/>
    <s v="LinkedIn"/>
    <n v="4983"/>
    <n v="441"/>
    <n v="1077624"/>
    <n v="6.8954477628560606E-2"/>
    <n v="46768"/>
    <n v="4542"/>
    <n v="4.2148281775461569E-3"/>
    <n v="3220.3333333333335"/>
  </r>
  <r>
    <d v="2025-04-07T00:00:00"/>
    <x v="44"/>
    <s v="Twitter"/>
    <n v="9714"/>
    <n v="1395"/>
    <n v="1085943"/>
    <n v="5.2243073531483698E-2"/>
    <n v="40682"/>
    <n v="8319"/>
    <n v="7.6606230713766746E-3"/>
    <n v="4212"/>
  </r>
  <r>
    <d v="2025-04-07T00:00:00"/>
    <x v="44"/>
    <s v="Instagram"/>
    <n v="1521"/>
    <n v="96"/>
    <n v="1087368"/>
    <n v="0.12709772588488899"/>
    <n v="42262"/>
    <n v="1425"/>
    <n v="1.3105038956452645E-3"/>
    <n v="6431.666666666667"/>
  </r>
  <r>
    <d v="2025-04-14T00:00:00"/>
    <x v="45"/>
    <s v="LinkedIn"/>
    <n v="8569"/>
    <n v="720"/>
    <n v="1095217"/>
    <n v="9.5896977493957813E-2"/>
    <n v="41358"/>
    <n v="7849"/>
    <n v="7.1666162961312686E-3"/>
    <n v="4762"/>
  </r>
  <r>
    <d v="2025-04-14T00:00:00"/>
    <x v="45"/>
    <s v="LinkedIn"/>
    <n v="6784"/>
    <n v="416"/>
    <n v="1101585"/>
    <n v="9.3041390360253634E-2"/>
    <n v="24289"/>
    <n v="6368"/>
    <n v="5.7807613574985131E-3"/>
    <n v="5864.333333333333"/>
  </r>
  <r>
    <d v="2025-04-14T00:00:00"/>
    <x v="45"/>
    <s v="LinkedIn"/>
    <n v="5583"/>
    <n v="795"/>
    <n v="1106373"/>
    <n v="0.1221550055903389"/>
    <n v="59823"/>
    <n v="4788"/>
    <n v="4.327654416729259E-3"/>
    <n v="5214"/>
  </r>
  <r>
    <d v="2025-04-14T00:00:00"/>
    <x v="45"/>
    <s v="LinkedIn"/>
    <n v="6946"/>
    <n v="956"/>
    <n v="1112363"/>
    <n v="1.6414605663798602E-2"/>
    <n v="17927"/>
    <n v="5990"/>
    <n v="5.3849327962185002E-3"/>
    <n v="6335"/>
  </r>
  <r>
    <d v="2025-04-21T00:00:00"/>
    <x v="46"/>
    <s v="Instagram"/>
    <n v="5941"/>
    <n v="450"/>
    <n v="1117854"/>
    <n v="0.12414411899944"/>
    <n v="58330"/>
    <n v="5491"/>
    <n v="4.9120904876665469E-3"/>
    <n v="5715.333333333333"/>
  </r>
  <r>
    <d v="2025-04-21T00:00:00"/>
    <x v="46"/>
    <s v="Instagram"/>
    <n v="7267"/>
    <n v="842"/>
    <n v="1124279"/>
    <n v="2.210216503198939E-2"/>
    <n v="11171"/>
    <n v="6425"/>
    <n v="5.7147736460433753E-3"/>
    <n v="5423"/>
  </r>
  <r>
    <d v="2025-04-21T00:00:00"/>
    <x v="46"/>
    <s v="Twitter"/>
    <n v="8128"/>
    <n v="1070"/>
    <n v="1131337"/>
    <n v="8.1114645768679008E-2"/>
    <n v="21918"/>
    <n v="7058"/>
    <n v="6.2386362330587612E-3"/>
    <n v="5968.666666666667"/>
  </r>
  <r>
    <d v="2025-04-21T00:00:00"/>
    <x v="46"/>
    <s v="Instagram"/>
    <n v="3461"/>
    <n v="365"/>
    <n v="1134433"/>
    <n v="0.1023489267325616"/>
    <n v="51903"/>
    <n v="3096"/>
    <n v="2.7291166600407427E-3"/>
    <n v="6324.666666666667"/>
  </r>
  <r>
    <d v="2025-04-28T00:00:00"/>
    <x v="47"/>
    <s v="LinkedIn"/>
    <n v="1685"/>
    <n v="173"/>
    <n v="1135945"/>
    <n v="8.7776256772995165E-2"/>
    <n v="49110"/>
    <n v="1512"/>
    <n v="1.331050358952238E-3"/>
    <n v="5526.333333333333"/>
  </r>
  <r>
    <d v="2025-04-28T00:00:00"/>
    <x v="47"/>
    <s v="Twitter"/>
    <n v="3160"/>
    <n v="234"/>
    <n v="1138871"/>
    <n v="5.6959041015180817E-2"/>
    <n v="21929"/>
    <n v="2926"/>
    <n v="2.5692110871204906E-3"/>
    <n v="3888.6666666666665"/>
  </r>
  <r>
    <d v="2025-04-28T00:00:00"/>
    <x v="47"/>
    <s v="Twitter"/>
    <n v="8031"/>
    <n v="476"/>
    <n v="1146426"/>
    <n v="0.11940413075069831"/>
    <n v="12539"/>
    <n v="7555"/>
    <n v="6.5900459340594159E-3"/>
    <n v="2511.3333333333335"/>
  </r>
  <r>
    <d v="2025-04-28T00:00:00"/>
    <x v="47"/>
    <s v="Twitter"/>
    <n v="6341"/>
    <n v="885"/>
    <n v="1151882"/>
    <n v="6.3457020771224837E-2"/>
    <n v="46727"/>
    <n v="5456"/>
    <n v="4.7365962832998515E-3"/>
    <n v="3997.6666666666665"/>
  </r>
  <r>
    <d v="2025-05-05T00:00:00"/>
    <x v="48"/>
    <s v="LinkedIn"/>
    <n v="1038"/>
    <n v="145"/>
    <n v="1152775"/>
    <n v="0.11093752033137431"/>
    <n v="55951"/>
    <n v="893"/>
    <n v="7.7465246904209403E-4"/>
    <n v="5312.333333333333"/>
  </r>
  <r>
    <d v="2025-05-05T00:00:00"/>
    <x v="48"/>
    <s v="YouTube"/>
    <n v="5875"/>
    <n v="665"/>
    <n v="1157985"/>
    <n v="6.9871371390821127E-2"/>
    <n v="32669"/>
    <n v="5210"/>
    <n v="4.4991947218659999E-3"/>
    <n v="4634.666666666667"/>
  </r>
  <r>
    <d v="2025-05-05T00:00:00"/>
    <x v="48"/>
    <s v="LinkedIn"/>
    <n v="2256"/>
    <n v="189"/>
    <n v="1160052"/>
    <n v="2.8935771844710412E-2"/>
    <n v="15432"/>
    <n v="2067"/>
    <n v="1.7818166771834366E-3"/>
    <n v="3853"/>
  </r>
  <r>
    <d v="2025-05-05T00:00:00"/>
    <x v="48"/>
    <s v="Instagram"/>
    <n v="8697"/>
    <n v="738"/>
    <n v="1168011"/>
    <n v="3.877703206562267E-2"/>
    <n v="30644"/>
    <n v="7959"/>
    <n v="6.8141481544266276E-3"/>
    <n v="2723.3333333333335"/>
  </r>
  <r>
    <d v="2025-05-12T00:00:00"/>
    <x v="49"/>
    <s v="Instagram"/>
    <n v="3196"/>
    <n v="391"/>
    <n v="1170816"/>
    <n v="7.2439221876024931E-2"/>
    <n v="28745"/>
    <n v="2805"/>
    <n v="2.3957650049196456E-3"/>
    <n v="5078.666666666667"/>
  </r>
  <r>
    <d v="2025-05-12T00:00:00"/>
    <x v="49"/>
    <s v="LinkedIn"/>
    <n v="8165"/>
    <n v="1140"/>
    <n v="1177841"/>
    <n v="9.0959645656756724E-2"/>
    <n v="38228"/>
    <n v="7025"/>
    <n v="5.9643024822535473E-3"/>
    <n v="4277"/>
  </r>
  <r>
    <d v="2025-05-12T00:00:00"/>
    <x v="49"/>
    <s v="LinkedIn"/>
    <n v="1301"/>
    <n v="180"/>
    <n v="1178962"/>
    <n v="5.2275645864752217E-2"/>
    <n v="44521"/>
    <n v="1121"/>
    <n v="9.5083641372665107E-4"/>
    <n v="5929.666666666667"/>
  </r>
  <r>
    <d v="2025-05-12T00:00:00"/>
    <x v="49"/>
    <s v="Twitter"/>
    <n v="8527"/>
    <n v="1091"/>
    <n v="1186398"/>
    <n v="1.6760817196252858E-2"/>
    <n v="41703"/>
    <n v="7436"/>
    <n v="6.267711172810473E-3"/>
    <n v="3650.33333333333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E0F60-525E-40E8-B85F-0F2BC7E156F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0:F62" firstHeaderRow="1" firstDataRow="2" firstDataCol="1"/>
  <pivotFields count="13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1">
        <item x="39"/>
        <item x="40"/>
        <item x="41"/>
        <item x="42"/>
        <item x="43"/>
        <item x="44"/>
        <item x="45"/>
        <item x="46"/>
        <item x="47"/>
        <item x="48"/>
        <item x="31"/>
        <item x="49"/>
        <item x="0"/>
        <item x="1"/>
        <item x="2"/>
        <item x="3"/>
        <item x="4"/>
        <item x="5"/>
        <item x="6"/>
        <item x="32"/>
        <item x="7"/>
        <item x="8"/>
        <item x="9"/>
        <item x="10"/>
        <item x="11"/>
        <item x="12"/>
        <item x="13"/>
        <item x="14"/>
        <item x="15"/>
        <item x="16"/>
        <item x="33"/>
        <item x="17"/>
        <item x="18"/>
        <item x="19"/>
        <item x="20"/>
        <item x="21"/>
        <item x="22"/>
        <item x="23"/>
        <item x="24"/>
        <item x="25"/>
        <item x="26"/>
        <item x="34"/>
        <item x="27"/>
        <item x="28"/>
        <item x="29"/>
        <item x="30"/>
        <item x="35"/>
        <item x="36"/>
        <item x="37"/>
        <item x="38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numFmtId="10" showAll="0"/>
    <pivotField numFmtId="164" showAll="0"/>
    <pivotField dataField="1" numFmtId="1" showAll="0"/>
    <pivotField numFmtId="10" showAll="0"/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growth" fld="8" baseField="0" baseItem="3" numFmtId="1"/>
  </dataFields>
  <conditionalFormats count="1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5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</reference>
            <reference field="2" count="4" selected="0">
              <x v="0"/>
              <x v="1"/>
              <x v="2"/>
              <x v="3"/>
            </reference>
          </references>
        </pivotArea>
      </pivotAreas>
    </conditionalFormat>
  </conditionalFormats>
  <chartFormats count="12">
    <chartFormat chart="0" format="4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53488-5DA2-4574-AFBE-FAB5FD08652A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:B62" firstHeaderRow="1" firstDataRow="1" firstDataCol="1"/>
  <pivotFields count="13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1">
        <item x="39"/>
        <item x="40"/>
        <item x="41"/>
        <item x="42"/>
        <item x="43"/>
        <item x="44"/>
        <item x="45"/>
        <item x="46"/>
        <item x="47"/>
        <item x="48"/>
        <item x="31"/>
        <item x="49"/>
        <item x="0"/>
        <item x="1"/>
        <item x="2"/>
        <item x="3"/>
        <item x="4"/>
        <item x="5"/>
        <item x="6"/>
        <item x="32"/>
        <item x="7"/>
        <item x="8"/>
        <item x="9"/>
        <item x="10"/>
        <item x="11"/>
        <item x="12"/>
        <item x="13"/>
        <item x="14"/>
        <item x="15"/>
        <item x="16"/>
        <item x="33"/>
        <item x="17"/>
        <item x="18"/>
        <item x="19"/>
        <item x="20"/>
        <item x="21"/>
        <item x="22"/>
        <item x="23"/>
        <item x="24"/>
        <item x="25"/>
        <item x="26"/>
        <item x="34"/>
        <item x="27"/>
        <item x="28"/>
        <item x="29"/>
        <item x="30"/>
        <item x="35"/>
        <item x="36"/>
        <item x="37"/>
        <item x="38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numFmtId="10" showAll="0"/>
    <pivotField numFmtId="164" showAll="0"/>
    <pivotField numFmtId="1" showAll="0"/>
    <pivotField dataField="1"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Average of Growth_rate" fld="9" subtotal="average" baseField="0" baseItem="0" numFmtId="1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2E4A4-EC83-46FA-804A-4393EECEBE9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8:C59" firstHeaderRow="0" firstDataRow="1" firstDataCol="1"/>
  <pivotFields count="11">
    <pivotField numFmtId="14" showAll="0"/>
    <pivotField axis="axisRow" showAll="0">
      <items count="51">
        <item x="39"/>
        <item x="40"/>
        <item x="41"/>
        <item x="42"/>
        <item x="43"/>
        <item x="44"/>
        <item x="45"/>
        <item x="46"/>
        <item x="47"/>
        <item x="48"/>
        <item x="31"/>
        <item x="49"/>
        <item x="0"/>
        <item x="1"/>
        <item x="2"/>
        <item x="3"/>
        <item x="4"/>
        <item x="5"/>
        <item x="6"/>
        <item x="32"/>
        <item x="7"/>
        <item x="8"/>
        <item x="9"/>
        <item x="10"/>
        <item x="11"/>
        <item x="12"/>
        <item x="13"/>
        <item x="14"/>
        <item x="15"/>
        <item x="16"/>
        <item x="33"/>
        <item x="17"/>
        <item x="18"/>
        <item x="19"/>
        <item x="20"/>
        <item x="21"/>
        <item x="22"/>
        <item x="23"/>
        <item x="24"/>
        <item x="25"/>
        <item x="26"/>
        <item x="34"/>
        <item x="27"/>
        <item x="28"/>
        <item x="29"/>
        <item x="30"/>
        <item x="35"/>
        <item x="36"/>
        <item x="37"/>
        <item x="38"/>
        <item t="default"/>
      </items>
    </pivotField>
    <pivotField showAll="0"/>
    <pivotField numFmtId="1" showAll="0"/>
    <pivotField numFmtId="1" showAll="0"/>
    <pivotField numFmtId="1" showAll="0"/>
    <pivotField numFmtId="10" showAll="0"/>
    <pivotField numFmtId="164" showAll="0"/>
    <pivotField dataField="1" numFmtId="1" showAll="0"/>
    <pivotField numFmtId="10" showAll="0"/>
    <pivotField dataField="1" numFmtId="1"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Net_growth" fld="8" subtotal="average" baseField="1" baseItem="0" numFmtId="1"/>
    <dataField name="Average of 3-week moving average" fld="10" subtotal="average" baseField="1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32EBC-D71E-4FC0-AD9D-15FD4B56DEE2}" name="PivotTable1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9:M60" firstHeaderRow="0" firstDataRow="1" firstDataCol="1"/>
  <pivotFields count="11">
    <pivotField numFmtId="14" showAll="0"/>
    <pivotField axis="axisRow" showAll="0">
      <items count="51">
        <item x="39"/>
        <item x="40"/>
        <item x="41"/>
        <item x="42"/>
        <item x="43"/>
        <item x="44"/>
        <item x="45"/>
        <item x="46"/>
        <item x="47"/>
        <item x="48"/>
        <item x="31"/>
        <item x="49"/>
        <item x="0"/>
        <item x="1"/>
        <item x="2"/>
        <item x="3"/>
        <item x="4"/>
        <item x="5"/>
        <item x="6"/>
        <item x="32"/>
        <item x="7"/>
        <item x="8"/>
        <item x="9"/>
        <item x="10"/>
        <item x="11"/>
        <item x="12"/>
        <item x="13"/>
        <item x="14"/>
        <item x="15"/>
        <item x="16"/>
        <item x="33"/>
        <item x="17"/>
        <item x="18"/>
        <item x="19"/>
        <item x="20"/>
        <item x="21"/>
        <item x="22"/>
        <item x="23"/>
        <item x="24"/>
        <item x="25"/>
        <item x="26"/>
        <item x="34"/>
        <item x="27"/>
        <item x="28"/>
        <item x="29"/>
        <item x="30"/>
        <item x="35"/>
        <item x="36"/>
        <item x="37"/>
        <item x="38"/>
        <item t="default"/>
      </items>
    </pivotField>
    <pivotField showAll="0"/>
    <pivotField numFmtId="1" showAll="0"/>
    <pivotField numFmtId="1" showAll="0"/>
    <pivotField numFmtId="1" showAll="0"/>
    <pivotField numFmtId="10" showAll="0"/>
    <pivotField numFmtId="164" showAll="0"/>
    <pivotField dataField="1" numFmtId="1" showAll="0"/>
    <pivotField numFmtId="10" showAll="0"/>
    <pivotField dataField="1" numFmtId="1"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Net_growth" fld="8" subtotal="average" baseField="1" baseItem="0" numFmtId="1"/>
    <dataField name="Average of 3-week moving average" fld="10" subtotal="average" baseField="1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B49EE-6063-4091-A41B-0032B4F28A5B}" name="PivotTable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10:I61" firstHeaderRow="1" firstDataRow="1" firstDataCol="1"/>
  <pivotFields count="13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1">
        <item x="39"/>
        <item x="40"/>
        <item x="41"/>
        <item x="42"/>
        <item x="43"/>
        <item x="44"/>
        <item x="45"/>
        <item x="46"/>
        <item x="47"/>
        <item x="48"/>
        <item x="31"/>
        <item x="49"/>
        <item x="0"/>
        <item x="1"/>
        <item x="2"/>
        <item x="3"/>
        <item x="4"/>
        <item x="5"/>
        <item x="6"/>
        <item x="32"/>
        <item x="7"/>
        <item x="8"/>
        <item x="9"/>
        <item x="10"/>
        <item x="11"/>
        <item x="12"/>
        <item x="13"/>
        <item x="14"/>
        <item x="15"/>
        <item x="16"/>
        <item x="33"/>
        <item x="17"/>
        <item x="18"/>
        <item x="19"/>
        <item x="20"/>
        <item x="21"/>
        <item x="22"/>
        <item x="23"/>
        <item x="24"/>
        <item x="25"/>
        <item x="26"/>
        <item x="34"/>
        <item x="27"/>
        <item x="28"/>
        <item x="29"/>
        <item x="30"/>
        <item x="35"/>
        <item x="36"/>
        <item x="37"/>
        <item x="38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numFmtId="10" showAll="0"/>
    <pivotField numFmtId="164" showAll="0"/>
    <pivotField numFmtId="1" showAll="0"/>
    <pivotField dataField="1"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Average of Growth_rate" fld="9" subtotal="average" baseField="0" baseItem="0" numFmtId="1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9DED8-26D8-40DA-8DBC-796B002D83A2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9:F61" firstHeaderRow="1" firstDataRow="2" firstDataCol="1"/>
  <pivotFields count="13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1">
        <item x="39"/>
        <item x="40"/>
        <item x="41"/>
        <item x="42"/>
        <item x="43"/>
        <item x="44"/>
        <item x="45"/>
        <item x="46"/>
        <item x="47"/>
        <item x="48"/>
        <item x="31"/>
        <item x="49"/>
        <item x="0"/>
        <item x="1"/>
        <item x="2"/>
        <item x="3"/>
        <item x="4"/>
        <item x="5"/>
        <item x="6"/>
        <item x="32"/>
        <item x="7"/>
        <item x="8"/>
        <item x="9"/>
        <item x="10"/>
        <item x="11"/>
        <item x="12"/>
        <item x="13"/>
        <item x="14"/>
        <item x="15"/>
        <item x="16"/>
        <item x="33"/>
        <item x="17"/>
        <item x="18"/>
        <item x="19"/>
        <item x="20"/>
        <item x="21"/>
        <item x="22"/>
        <item x="23"/>
        <item x="24"/>
        <item x="25"/>
        <item x="26"/>
        <item x="34"/>
        <item x="27"/>
        <item x="28"/>
        <item x="29"/>
        <item x="30"/>
        <item x="35"/>
        <item x="36"/>
        <item x="37"/>
        <item x="38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numFmtId="10" showAll="0"/>
    <pivotField numFmtId="164" showAll="0"/>
    <pivotField dataField="1" numFmtId="1" showAll="0"/>
    <pivotField numFmtId="10" showAll="0"/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growth" fld="8" baseField="0" baseItem="3" numFmtId="1"/>
  </dataFields>
  <conditionalFormats count="1"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5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</reference>
            <reference field="2" count="4" selected="0">
              <x v="0"/>
              <x v="1"/>
              <x v="2"/>
              <x v="3"/>
            </reference>
          </references>
        </pivotArea>
      </pivotAreas>
    </conditionalFormat>
  </conditionalFormats>
  <chartFormats count="8">
    <chartFormat chart="0" format="4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121F-4BC0-474D-A067-993A41C6DF29}">
  <sheetPr>
    <tabColor rgb="FF00B0F0"/>
  </sheetPr>
  <dimension ref="A6:O62"/>
  <sheetViews>
    <sheetView topLeftCell="A38" workbookViewId="0">
      <selection activeCell="C20" sqref="C20"/>
    </sheetView>
  </sheetViews>
  <sheetFormatPr defaultRowHeight="14.4" x14ac:dyDescent="0.3"/>
  <cols>
    <col min="1" max="1" width="17.6640625" bestFit="1" customWidth="1"/>
    <col min="2" max="2" width="15.5546875" bestFit="1" customWidth="1"/>
    <col min="3" max="3" width="8.21875" bestFit="1" customWidth="1"/>
    <col min="4" max="4" width="7" bestFit="1" customWidth="1"/>
    <col min="5" max="5" width="8.44140625" bestFit="1" customWidth="1"/>
    <col min="6" max="6" width="10.77734375" bestFit="1" customWidth="1"/>
  </cols>
  <sheetData>
    <row r="6" spans="1:6" x14ac:dyDescent="0.3">
      <c r="A6" s="20" t="s">
        <v>18</v>
      </c>
      <c r="B6" s="21"/>
      <c r="C6" s="21"/>
      <c r="D6" s="21"/>
      <c r="E6" s="21"/>
      <c r="F6" s="21"/>
    </row>
    <row r="7" spans="1:6" x14ac:dyDescent="0.3">
      <c r="A7" s="21"/>
      <c r="B7" s="21"/>
      <c r="C7" s="21"/>
      <c r="D7" s="21"/>
      <c r="E7" s="21"/>
      <c r="F7" s="21"/>
    </row>
    <row r="8" spans="1:6" x14ac:dyDescent="0.3">
      <c r="A8" s="22" t="s">
        <v>17</v>
      </c>
      <c r="B8" s="17"/>
      <c r="C8" s="17"/>
      <c r="D8" s="17"/>
      <c r="E8" s="17"/>
      <c r="F8" s="17"/>
    </row>
    <row r="9" spans="1:6" x14ac:dyDescent="0.3">
      <c r="A9" s="17"/>
      <c r="B9" s="17"/>
      <c r="C9" s="17"/>
      <c r="D9" s="17"/>
      <c r="E9" s="17"/>
      <c r="F9" s="17"/>
    </row>
    <row r="10" spans="1:6" x14ac:dyDescent="0.3">
      <c r="A10" s="13" t="s">
        <v>16</v>
      </c>
      <c r="B10" s="13" t="s">
        <v>15</v>
      </c>
    </row>
    <row r="11" spans="1:6" x14ac:dyDescent="0.3">
      <c r="A11" s="13" t="s">
        <v>13</v>
      </c>
      <c r="B11" t="s">
        <v>9</v>
      </c>
      <c r="C11" t="s">
        <v>12</v>
      </c>
      <c r="D11" t="s">
        <v>10</v>
      </c>
      <c r="E11" t="s">
        <v>11</v>
      </c>
      <c r="F11" t="s">
        <v>14</v>
      </c>
    </row>
    <row r="12" spans="1:6" x14ac:dyDescent="0.3">
      <c r="A12" s="14" t="s">
        <v>59</v>
      </c>
      <c r="B12" s="12"/>
      <c r="C12" s="12">
        <v>7432</v>
      </c>
      <c r="D12" s="12">
        <v>6326</v>
      </c>
      <c r="E12" s="12">
        <v>6631</v>
      </c>
      <c r="F12" s="12">
        <v>20389</v>
      </c>
    </row>
    <row r="13" spans="1:6" x14ac:dyDescent="0.3">
      <c r="A13" s="14" t="s">
        <v>60</v>
      </c>
      <c r="B13" s="12">
        <v>2994</v>
      </c>
      <c r="C13" s="12">
        <v>2535</v>
      </c>
      <c r="D13" s="12">
        <v>8723</v>
      </c>
      <c r="E13" s="12">
        <v>3555</v>
      </c>
      <c r="F13" s="12">
        <v>17807</v>
      </c>
    </row>
    <row r="14" spans="1:6" x14ac:dyDescent="0.3">
      <c r="A14" s="14" t="s">
        <v>61</v>
      </c>
      <c r="B14" s="12">
        <v>8292</v>
      </c>
      <c r="C14" s="12">
        <v>19728</v>
      </c>
      <c r="D14" s="12"/>
      <c r="E14" s="12"/>
      <c r="F14" s="12">
        <v>28020</v>
      </c>
    </row>
    <row r="15" spans="1:6" x14ac:dyDescent="0.3">
      <c r="A15" s="14" t="s">
        <v>62</v>
      </c>
      <c r="B15" s="12"/>
      <c r="C15" s="12">
        <v>21227</v>
      </c>
      <c r="D15" s="12"/>
      <c r="E15" s="12">
        <v>4189</v>
      </c>
      <c r="F15" s="12">
        <v>25416</v>
      </c>
    </row>
    <row r="16" spans="1:6" x14ac:dyDescent="0.3">
      <c r="A16" s="14" t="s">
        <v>63</v>
      </c>
      <c r="B16" s="12">
        <v>6128</v>
      </c>
      <c r="C16" s="12">
        <v>1660</v>
      </c>
      <c r="D16" s="12">
        <v>6272</v>
      </c>
      <c r="E16" s="12">
        <v>1567</v>
      </c>
      <c r="F16" s="12">
        <v>15627</v>
      </c>
    </row>
    <row r="17" spans="1:6" x14ac:dyDescent="0.3">
      <c r="A17" s="14" t="s">
        <v>64</v>
      </c>
      <c r="B17" s="12">
        <v>1425</v>
      </c>
      <c r="C17" s="12">
        <v>4542</v>
      </c>
      <c r="D17" s="12">
        <v>8319</v>
      </c>
      <c r="E17" s="12">
        <v>6434</v>
      </c>
      <c r="F17" s="12">
        <v>20720</v>
      </c>
    </row>
    <row r="18" spans="1:6" x14ac:dyDescent="0.3">
      <c r="A18" s="14" t="s">
        <v>65</v>
      </c>
      <c r="B18" s="12"/>
      <c r="C18" s="12">
        <v>24995</v>
      </c>
      <c r="D18" s="12"/>
      <c r="E18" s="12"/>
      <c r="F18" s="12">
        <v>24995</v>
      </c>
    </row>
    <row r="19" spans="1:6" x14ac:dyDescent="0.3">
      <c r="A19" s="14" t="s">
        <v>66</v>
      </c>
      <c r="B19" s="12">
        <v>15012</v>
      </c>
      <c r="C19" s="12"/>
      <c r="D19" s="12">
        <v>7058</v>
      </c>
      <c r="E19" s="12"/>
      <c r="F19" s="12">
        <v>22070</v>
      </c>
    </row>
    <row r="20" spans="1:6" x14ac:dyDescent="0.3">
      <c r="A20" s="14" t="s">
        <v>67</v>
      </c>
      <c r="B20" s="12"/>
      <c r="C20" s="12">
        <v>1512</v>
      </c>
      <c r="D20" s="12">
        <v>15937</v>
      </c>
      <c r="E20" s="12"/>
      <c r="F20" s="12">
        <v>17449</v>
      </c>
    </row>
    <row r="21" spans="1:6" x14ac:dyDescent="0.3">
      <c r="A21" s="14" t="s">
        <v>68</v>
      </c>
      <c r="B21" s="12">
        <v>7959</v>
      </c>
      <c r="C21" s="12">
        <v>2960</v>
      </c>
      <c r="D21" s="12"/>
      <c r="E21" s="12">
        <v>5210</v>
      </c>
      <c r="F21" s="12">
        <v>16129</v>
      </c>
    </row>
    <row r="22" spans="1:6" x14ac:dyDescent="0.3">
      <c r="A22" s="14" t="s">
        <v>51</v>
      </c>
      <c r="B22" s="12"/>
      <c r="C22" s="12">
        <v>9254</v>
      </c>
      <c r="D22" s="12">
        <v>9202</v>
      </c>
      <c r="E22" s="12">
        <v>8601</v>
      </c>
      <c r="F22" s="12">
        <v>27057</v>
      </c>
    </row>
    <row r="23" spans="1:6" x14ac:dyDescent="0.3">
      <c r="A23" s="14" t="s">
        <v>69</v>
      </c>
      <c r="B23" s="12">
        <v>2805</v>
      </c>
      <c r="C23" s="12">
        <v>8146</v>
      </c>
      <c r="D23" s="12">
        <v>7436</v>
      </c>
      <c r="E23" s="12"/>
      <c r="F23" s="12">
        <v>18387</v>
      </c>
    </row>
    <row r="24" spans="1:6" x14ac:dyDescent="0.3">
      <c r="A24" s="14" t="s">
        <v>20</v>
      </c>
      <c r="B24" s="12">
        <v>3777</v>
      </c>
      <c r="C24" s="12"/>
      <c r="D24" s="12">
        <v>7432</v>
      </c>
      <c r="E24" s="12">
        <v>15994</v>
      </c>
      <c r="F24" s="12">
        <v>27203</v>
      </c>
    </row>
    <row r="25" spans="1:6" x14ac:dyDescent="0.3">
      <c r="A25" s="14" t="s">
        <v>21</v>
      </c>
      <c r="B25" s="12">
        <v>7215</v>
      </c>
      <c r="C25" s="12"/>
      <c r="D25" s="12">
        <v>8369</v>
      </c>
      <c r="E25" s="12">
        <v>7478</v>
      </c>
      <c r="F25" s="12">
        <v>23062</v>
      </c>
    </row>
    <row r="26" spans="1:6" x14ac:dyDescent="0.3">
      <c r="A26" s="14" t="s">
        <v>22</v>
      </c>
      <c r="B26" s="12">
        <v>13130</v>
      </c>
      <c r="C26" s="12">
        <v>6728</v>
      </c>
      <c r="D26" s="12">
        <v>6073</v>
      </c>
      <c r="E26" s="12"/>
      <c r="F26" s="12">
        <v>25931</v>
      </c>
    </row>
    <row r="27" spans="1:6" x14ac:dyDescent="0.3">
      <c r="A27" s="14" t="s">
        <v>23</v>
      </c>
      <c r="B27" s="12">
        <v>4885</v>
      </c>
      <c r="C27" s="12"/>
      <c r="D27" s="12">
        <v>15084</v>
      </c>
      <c r="E27" s="12">
        <v>8653</v>
      </c>
      <c r="F27" s="12">
        <v>28622</v>
      </c>
    </row>
    <row r="28" spans="1:6" x14ac:dyDescent="0.3">
      <c r="A28" s="14" t="s">
        <v>24</v>
      </c>
      <c r="B28" s="12">
        <v>5928</v>
      </c>
      <c r="C28" s="12">
        <v>5442</v>
      </c>
      <c r="D28" s="12">
        <v>8463</v>
      </c>
      <c r="E28" s="12"/>
      <c r="F28" s="12">
        <v>19833</v>
      </c>
    </row>
    <row r="29" spans="1:6" x14ac:dyDescent="0.3">
      <c r="A29" s="14" t="s">
        <v>25</v>
      </c>
      <c r="B29" s="12"/>
      <c r="C29" s="12">
        <v>11378</v>
      </c>
      <c r="D29" s="12">
        <v>7151</v>
      </c>
      <c r="E29" s="12"/>
      <c r="F29" s="12">
        <v>18529</v>
      </c>
    </row>
    <row r="30" spans="1:6" x14ac:dyDescent="0.3">
      <c r="A30" s="14" t="s">
        <v>26</v>
      </c>
      <c r="B30" s="12">
        <v>4967</v>
      </c>
      <c r="C30" s="12"/>
      <c r="D30" s="12">
        <v>7092</v>
      </c>
      <c r="E30" s="12">
        <v>1826</v>
      </c>
      <c r="F30" s="12">
        <v>13885</v>
      </c>
    </row>
    <row r="31" spans="1:6" x14ac:dyDescent="0.3">
      <c r="A31" s="14" t="s">
        <v>52</v>
      </c>
      <c r="B31" s="12">
        <v>2919</v>
      </c>
      <c r="C31" s="12">
        <v>7471</v>
      </c>
      <c r="D31" s="12">
        <v>7346</v>
      </c>
      <c r="E31" s="12">
        <v>1001</v>
      </c>
      <c r="F31" s="12">
        <v>18737</v>
      </c>
    </row>
    <row r="32" spans="1:6" x14ac:dyDescent="0.3">
      <c r="A32" s="14" t="s">
        <v>27</v>
      </c>
      <c r="B32" s="12"/>
      <c r="C32" s="12">
        <v>15403</v>
      </c>
      <c r="D32" s="12">
        <v>7733</v>
      </c>
      <c r="E32" s="12">
        <v>9082</v>
      </c>
      <c r="F32" s="12">
        <v>32218</v>
      </c>
    </row>
    <row r="33" spans="1:15" x14ac:dyDescent="0.3">
      <c r="A33" s="14" t="s">
        <v>28</v>
      </c>
      <c r="B33" s="12"/>
      <c r="C33" s="12">
        <v>7537</v>
      </c>
      <c r="D33" s="12">
        <v>6039</v>
      </c>
      <c r="E33" s="12">
        <v>3445</v>
      </c>
      <c r="F33" s="12">
        <v>17021</v>
      </c>
    </row>
    <row r="34" spans="1:15" x14ac:dyDescent="0.3">
      <c r="A34" s="14" t="s">
        <v>29</v>
      </c>
      <c r="B34" s="12">
        <v>3213</v>
      </c>
      <c r="C34" s="12">
        <v>4847</v>
      </c>
      <c r="D34" s="12">
        <v>3497</v>
      </c>
      <c r="E34" s="12">
        <v>2543</v>
      </c>
      <c r="F34" s="12">
        <v>14100</v>
      </c>
    </row>
    <row r="35" spans="1:15" x14ac:dyDescent="0.3">
      <c r="A35" s="14" t="s">
        <v>30</v>
      </c>
      <c r="B35" s="12">
        <v>6853</v>
      </c>
      <c r="C35" s="12"/>
      <c r="D35" s="12">
        <v>12800</v>
      </c>
      <c r="E35" s="12">
        <v>7033</v>
      </c>
      <c r="F35" s="12">
        <v>26686</v>
      </c>
    </row>
    <row r="36" spans="1:15" x14ac:dyDescent="0.3">
      <c r="A36" s="14" t="s">
        <v>31</v>
      </c>
      <c r="B36" s="12">
        <v>13835</v>
      </c>
      <c r="C36" s="12"/>
      <c r="D36" s="12"/>
      <c r="E36" s="12">
        <v>9427</v>
      </c>
      <c r="F36" s="12">
        <v>23262</v>
      </c>
    </row>
    <row r="37" spans="1:15" x14ac:dyDescent="0.3">
      <c r="A37" s="14" t="s">
        <v>32</v>
      </c>
      <c r="B37" s="12">
        <v>8231</v>
      </c>
      <c r="C37" s="12">
        <v>1513</v>
      </c>
      <c r="D37" s="12">
        <v>5753</v>
      </c>
      <c r="E37" s="12">
        <v>5303</v>
      </c>
      <c r="F37" s="12">
        <v>20800</v>
      </c>
    </row>
    <row r="38" spans="1:15" x14ac:dyDescent="0.3">
      <c r="A38" s="14" t="s">
        <v>33</v>
      </c>
      <c r="B38" s="12">
        <v>7396</v>
      </c>
      <c r="C38" s="12">
        <v>8228</v>
      </c>
      <c r="D38" s="12">
        <v>6593</v>
      </c>
      <c r="E38" s="12"/>
      <c r="F38" s="12">
        <v>22217</v>
      </c>
      <c r="I38" s="27"/>
      <c r="J38" s="27"/>
      <c r="K38" s="27"/>
      <c r="L38" s="27"/>
      <c r="M38" s="27"/>
      <c r="N38" s="27"/>
      <c r="O38" s="27"/>
    </row>
    <row r="39" spans="1:15" x14ac:dyDescent="0.3">
      <c r="A39" s="14" t="s">
        <v>34</v>
      </c>
      <c r="B39" s="12">
        <v>7442</v>
      </c>
      <c r="C39" s="12">
        <v>6121</v>
      </c>
      <c r="D39" s="12"/>
      <c r="E39" s="12">
        <v>11613</v>
      </c>
      <c r="F39" s="12">
        <v>25176</v>
      </c>
      <c r="I39" s="27"/>
      <c r="J39" s="27"/>
      <c r="K39" s="27"/>
      <c r="L39" s="27"/>
      <c r="M39" s="27"/>
      <c r="N39" s="27"/>
      <c r="O39" s="27"/>
    </row>
    <row r="40" spans="1:15" x14ac:dyDescent="0.3">
      <c r="A40" s="14" t="s">
        <v>35</v>
      </c>
      <c r="B40" s="12"/>
      <c r="C40" s="12">
        <v>2199</v>
      </c>
      <c r="D40" s="12">
        <v>3925</v>
      </c>
      <c r="E40" s="12">
        <v>9308</v>
      </c>
      <c r="F40" s="12">
        <v>15432</v>
      </c>
      <c r="I40" s="27"/>
      <c r="J40" s="27"/>
      <c r="K40" s="27"/>
      <c r="L40" s="27"/>
      <c r="M40" s="27"/>
      <c r="N40" s="27"/>
      <c r="O40" s="27"/>
    </row>
    <row r="41" spans="1:15" x14ac:dyDescent="0.3">
      <c r="A41" s="14" t="s">
        <v>36</v>
      </c>
      <c r="B41" s="12">
        <v>13040</v>
      </c>
      <c r="C41" s="12"/>
      <c r="D41" s="12">
        <v>4942</v>
      </c>
      <c r="E41" s="12"/>
      <c r="F41" s="12">
        <v>17982</v>
      </c>
      <c r="I41" s="27"/>
      <c r="J41" s="27"/>
      <c r="K41" s="27"/>
      <c r="L41" s="27"/>
      <c r="M41" s="27"/>
      <c r="N41" s="27"/>
      <c r="O41" s="27"/>
    </row>
    <row r="42" spans="1:15" x14ac:dyDescent="0.3">
      <c r="A42" s="14" t="s">
        <v>53</v>
      </c>
      <c r="B42" s="12"/>
      <c r="C42" s="12"/>
      <c r="D42" s="12">
        <v>20155</v>
      </c>
      <c r="E42" s="12">
        <v>7654</v>
      </c>
      <c r="F42" s="12">
        <v>27809</v>
      </c>
      <c r="I42" s="27"/>
      <c r="J42" s="27"/>
      <c r="K42" s="27"/>
      <c r="L42" s="27"/>
      <c r="M42" s="27"/>
      <c r="N42" s="27"/>
      <c r="O42" s="27"/>
    </row>
    <row r="43" spans="1:15" x14ac:dyDescent="0.3">
      <c r="A43" s="14" t="s">
        <v>37</v>
      </c>
      <c r="B43" s="12">
        <v>9904</v>
      </c>
      <c r="C43" s="12"/>
      <c r="D43" s="12">
        <v>8530</v>
      </c>
      <c r="E43" s="12"/>
      <c r="F43" s="12">
        <v>18434</v>
      </c>
      <c r="I43" s="27"/>
      <c r="J43" s="27"/>
      <c r="K43" s="27"/>
      <c r="L43" s="27"/>
      <c r="M43" s="27"/>
      <c r="N43" s="27"/>
      <c r="O43" s="27"/>
    </row>
    <row r="44" spans="1:15" x14ac:dyDescent="0.3">
      <c r="A44" s="14" t="s">
        <v>38</v>
      </c>
      <c r="B44" s="12">
        <v>4808</v>
      </c>
      <c r="C44" s="12">
        <v>2421</v>
      </c>
      <c r="D44" s="12"/>
      <c r="E44" s="12">
        <v>10348</v>
      </c>
      <c r="F44" s="12">
        <v>17577</v>
      </c>
      <c r="I44" s="27"/>
      <c r="J44" s="27"/>
      <c r="K44" s="27"/>
      <c r="L44" s="27"/>
      <c r="M44" s="27"/>
      <c r="N44" s="27"/>
      <c r="O44" s="27"/>
    </row>
    <row r="45" spans="1:15" x14ac:dyDescent="0.3">
      <c r="A45" s="14" t="s">
        <v>39</v>
      </c>
      <c r="B45" s="12"/>
      <c r="C45" s="12"/>
      <c r="D45" s="12">
        <v>16256</v>
      </c>
      <c r="E45" s="12">
        <v>7115</v>
      </c>
      <c r="F45" s="12">
        <v>23371</v>
      </c>
      <c r="I45" s="27"/>
      <c r="J45" s="27"/>
      <c r="K45" s="27"/>
      <c r="L45" s="27"/>
      <c r="M45" s="27"/>
      <c r="N45" s="27"/>
      <c r="O45" s="27"/>
    </row>
    <row r="46" spans="1:15" x14ac:dyDescent="0.3">
      <c r="A46" s="14" t="s">
        <v>40</v>
      </c>
      <c r="B46" s="12">
        <v>23973</v>
      </c>
      <c r="C46" s="12"/>
      <c r="D46" s="12"/>
      <c r="E46" s="12">
        <v>6918</v>
      </c>
      <c r="F46" s="12">
        <v>30891</v>
      </c>
    </row>
    <row r="47" spans="1:15" x14ac:dyDescent="0.3">
      <c r="A47" s="14" t="s">
        <v>41</v>
      </c>
      <c r="B47" s="12"/>
      <c r="C47" s="12">
        <v>14812</v>
      </c>
      <c r="D47" s="12"/>
      <c r="E47" s="12">
        <v>12442</v>
      </c>
      <c r="F47" s="12">
        <v>27254</v>
      </c>
    </row>
    <row r="48" spans="1:15" x14ac:dyDescent="0.3">
      <c r="A48" s="14" t="s">
        <v>42</v>
      </c>
      <c r="B48" s="12"/>
      <c r="C48" s="12">
        <v>4942</v>
      </c>
      <c r="D48" s="12">
        <v>8687</v>
      </c>
      <c r="E48" s="12">
        <v>3056</v>
      </c>
      <c r="F48" s="12">
        <v>16685</v>
      </c>
    </row>
    <row r="49" spans="1:6" x14ac:dyDescent="0.3">
      <c r="A49" s="14" t="s">
        <v>43</v>
      </c>
      <c r="B49" s="12"/>
      <c r="C49" s="12">
        <v>4882</v>
      </c>
      <c r="D49" s="12">
        <v>9649</v>
      </c>
      <c r="E49" s="12">
        <v>5220</v>
      </c>
      <c r="F49" s="12">
        <v>19751</v>
      </c>
    </row>
    <row r="50" spans="1:6" x14ac:dyDescent="0.3">
      <c r="A50" s="14" t="s">
        <v>44</v>
      </c>
      <c r="B50" s="12">
        <v>5206</v>
      </c>
      <c r="C50" s="12">
        <v>9648</v>
      </c>
      <c r="D50" s="12">
        <v>6384</v>
      </c>
      <c r="E50" s="12"/>
      <c r="F50" s="12">
        <v>21238</v>
      </c>
    </row>
    <row r="51" spans="1:6" x14ac:dyDescent="0.3">
      <c r="A51" s="14" t="s">
        <v>45</v>
      </c>
      <c r="B51" s="12">
        <v>14537</v>
      </c>
      <c r="C51" s="12">
        <v>8945</v>
      </c>
      <c r="D51" s="12"/>
      <c r="E51" s="12">
        <v>5143</v>
      </c>
      <c r="F51" s="12">
        <v>28625</v>
      </c>
    </row>
    <row r="52" spans="1:6" x14ac:dyDescent="0.3">
      <c r="A52" s="14" t="s">
        <v>46</v>
      </c>
      <c r="B52" s="12">
        <v>8999</v>
      </c>
      <c r="C52" s="12">
        <v>5402</v>
      </c>
      <c r="D52" s="12"/>
      <c r="E52" s="12">
        <v>3929</v>
      </c>
      <c r="F52" s="12">
        <v>18330</v>
      </c>
    </row>
    <row r="53" spans="1:6" x14ac:dyDescent="0.3">
      <c r="A53" s="14" t="s">
        <v>54</v>
      </c>
      <c r="B53" s="12">
        <v>3643</v>
      </c>
      <c r="C53" s="12">
        <v>7260</v>
      </c>
      <c r="D53" s="12">
        <v>11789</v>
      </c>
      <c r="E53" s="12"/>
      <c r="F53" s="12">
        <v>22692</v>
      </c>
    </row>
    <row r="54" spans="1:6" x14ac:dyDescent="0.3">
      <c r="A54" s="14" t="s">
        <v>47</v>
      </c>
      <c r="B54" s="12">
        <v>3461</v>
      </c>
      <c r="C54" s="12">
        <v>949</v>
      </c>
      <c r="D54" s="12">
        <v>6642</v>
      </c>
      <c r="E54" s="12">
        <v>4790</v>
      </c>
      <c r="F54" s="12">
        <v>15842</v>
      </c>
    </row>
    <row r="55" spans="1:6" x14ac:dyDescent="0.3">
      <c r="A55" s="14" t="s">
        <v>48</v>
      </c>
      <c r="B55" s="12">
        <v>4802</v>
      </c>
      <c r="C55" s="12">
        <v>8527</v>
      </c>
      <c r="D55" s="12">
        <v>6275</v>
      </c>
      <c r="E55" s="12"/>
      <c r="F55" s="12">
        <v>19604</v>
      </c>
    </row>
    <row r="56" spans="1:6" x14ac:dyDescent="0.3">
      <c r="A56" s="14" t="s">
        <v>49</v>
      </c>
      <c r="B56" s="12">
        <v>4314</v>
      </c>
      <c r="C56" s="12">
        <v>7541</v>
      </c>
      <c r="D56" s="12"/>
      <c r="E56" s="12">
        <v>7328</v>
      </c>
      <c r="F56" s="12">
        <v>19183</v>
      </c>
    </row>
    <row r="57" spans="1:6" x14ac:dyDescent="0.3">
      <c r="A57" s="14" t="s">
        <v>50</v>
      </c>
      <c r="B57" s="12">
        <v>4214</v>
      </c>
      <c r="C57" s="12">
        <v>16577</v>
      </c>
      <c r="D57" s="12">
        <v>3079</v>
      </c>
      <c r="E57" s="12"/>
      <c r="F57" s="12">
        <v>23870</v>
      </c>
    </row>
    <row r="58" spans="1:6" x14ac:dyDescent="0.3">
      <c r="A58" s="14" t="s">
        <v>55</v>
      </c>
      <c r="B58" s="12"/>
      <c r="C58" s="12"/>
      <c r="D58" s="12">
        <v>16086</v>
      </c>
      <c r="E58" s="12">
        <v>12447</v>
      </c>
      <c r="F58" s="12">
        <v>28533</v>
      </c>
    </row>
    <row r="59" spans="1:6" x14ac:dyDescent="0.3">
      <c r="A59" s="14" t="s">
        <v>56</v>
      </c>
      <c r="B59" s="12"/>
      <c r="C59" s="12">
        <v>12622</v>
      </c>
      <c r="D59" s="12">
        <v>1020</v>
      </c>
      <c r="E59" s="12"/>
      <c r="F59" s="12">
        <v>13642</v>
      </c>
    </row>
    <row r="60" spans="1:6" x14ac:dyDescent="0.3">
      <c r="A60" s="14" t="s">
        <v>57</v>
      </c>
      <c r="B60" s="12">
        <v>11468</v>
      </c>
      <c r="C60" s="12">
        <v>5101</v>
      </c>
      <c r="D60" s="12">
        <v>1290</v>
      </c>
      <c r="E60" s="12"/>
      <c r="F60" s="12">
        <v>17859</v>
      </c>
    </row>
    <row r="61" spans="1:6" x14ac:dyDescent="0.3">
      <c r="A61" s="14" t="s">
        <v>58</v>
      </c>
      <c r="B61" s="12">
        <v>15087</v>
      </c>
      <c r="C61" s="12"/>
      <c r="D61" s="12"/>
      <c r="E61" s="12">
        <v>15359</v>
      </c>
      <c r="F61" s="12">
        <v>30446</v>
      </c>
    </row>
    <row r="62" spans="1:6" x14ac:dyDescent="0.3">
      <c r="A62" s="14" t="s">
        <v>14</v>
      </c>
      <c r="B62" s="12">
        <v>261862</v>
      </c>
      <c r="C62" s="12">
        <v>290487</v>
      </c>
      <c r="D62" s="12">
        <v>303407</v>
      </c>
      <c r="E62" s="12">
        <v>230642</v>
      </c>
      <c r="F62" s="12">
        <v>1086398</v>
      </c>
    </row>
  </sheetData>
  <mergeCells count="3">
    <mergeCell ref="I38:O45"/>
    <mergeCell ref="A8:F9"/>
    <mergeCell ref="A6:F7"/>
  </mergeCells>
  <conditionalFormatting pivot="1" sqref="B12:E61">
    <cfRule type="top10" dxfId="1" priority="1" rank="1"/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3000-4B9E-4EBD-A0F0-4CAFEC6452E3}">
  <sheetPr>
    <tabColor rgb="FF00B0F0"/>
  </sheetPr>
  <dimension ref="A6:M64"/>
  <sheetViews>
    <sheetView topLeftCell="A20" workbookViewId="0">
      <selection activeCell="A16" sqref="A16:B16"/>
      <pivotSelection pane="bottomRight" showHeader="1" extendable="1" axis="axisRow" start="4" max="51" activeRow="15" previousRow="15" click="1" r:id="rId1">
        <pivotArea dataOnly="0" fieldPosition="0">
          <references count="1">
            <reference field="1" count="1">
              <x v="4"/>
            </reference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25.109375" customWidth="1"/>
    <col min="3" max="4" width="15.5546875" bestFit="1" customWidth="1"/>
    <col min="5" max="6" width="10.77734375" bestFit="1" customWidth="1"/>
    <col min="7" max="11" width="8.21875" bestFit="1" customWidth="1"/>
    <col min="12" max="12" width="7.21875" bestFit="1" customWidth="1"/>
    <col min="13" max="20" width="8.21875" bestFit="1" customWidth="1"/>
    <col min="21" max="21" width="7.21875" bestFit="1" customWidth="1"/>
    <col min="22" max="31" width="8.21875" bestFit="1" customWidth="1"/>
    <col min="32" max="32" width="7.21875" bestFit="1" customWidth="1"/>
    <col min="33" max="42" width="8.21875" bestFit="1" customWidth="1"/>
    <col min="43" max="43" width="7.21875" bestFit="1" customWidth="1"/>
    <col min="44" max="47" width="8.21875" bestFit="1" customWidth="1"/>
    <col min="48" max="51" width="7.21875" bestFit="1" customWidth="1"/>
    <col min="52" max="52" width="10.77734375" bestFit="1" customWidth="1"/>
  </cols>
  <sheetData>
    <row r="6" spans="1:13" x14ac:dyDescent="0.3">
      <c r="A6" s="23" t="s">
        <v>71</v>
      </c>
      <c r="B6" s="24"/>
    </row>
    <row r="7" spans="1:13" x14ac:dyDescent="0.3">
      <c r="A7" s="24"/>
      <c r="B7" s="24"/>
    </row>
    <row r="8" spans="1:13" x14ac:dyDescent="0.3">
      <c r="A8" s="18" t="s">
        <v>70</v>
      </c>
      <c r="B8" s="18"/>
    </row>
    <row r="9" spans="1:13" ht="14.4" customHeight="1" x14ac:dyDescent="0.3">
      <c r="A9" s="18"/>
      <c r="B9" s="18"/>
    </row>
    <row r="10" spans="1:13" x14ac:dyDescent="0.3">
      <c r="A10" s="18"/>
      <c r="B10" s="18"/>
    </row>
    <row r="11" spans="1:13" x14ac:dyDescent="0.3">
      <c r="A11" s="13" t="s">
        <v>13</v>
      </c>
      <c r="B11" t="s">
        <v>19</v>
      </c>
    </row>
    <row r="12" spans="1:13" x14ac:dyDescent="0.3">
      <c r="A12" s="14" t="s">
        <v>59</v>
      </c>
      <c r="B12" s="10">
        <v>5.2411849257477531E-3</v>
      </c>
      <c r="D12" s="28" t="s">
        <v>73</v>
      </c>
      <c r="E12" s="29"/>
      <c r="F12" s="29"/>
      <c r="G12" s="29"/>
      <c r="H12" s="29"/>
      <c r="I12" s="29"/>
      <c r="J12" s="29"/>
      <c r="K12" s="29"/>
      <c r="L12" s="29"/>
      <c r="M12" s="29"/>
    </row>
    <row r="13" spans="1:13" x14ac:dyDescent="0.3">
      <c r="A13" s="14" t="s">
        <v>60</v>
      </c>
      <c r="B13" s="10">
        <v>4.4894941611353517E-3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spans="1:13" x14ac:dyDescent="0.3">
      <c r="A14" s="14" t="s">
        <v>61</v>
      </c>
      <c r="B14" s="10">
        <v>6.9003959993473498E-3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 spans="1:13" x14ac:dyDescent="0.3">
      <c r="A15" s="14" t="s">
        <v>62</v>
      </c>
      <c r="B15" s="10">
        <v>6.0973504586752519E-3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 spans="1:13" x14ac:dyDescent="0.3">
      <c r="A16" s="14" t="s">
        <v>63</v>
      </c>
      <c r="B16" s="10">
        <v>3.6805800194156762E-3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17" spans="1:13" x14ac:dyDescent="0.3">
      <c r="A17" s="14" t="s">
        <v>64</v>
      </c>
      <c r="B17" s="10">
        <v>4.7954422677958025E-3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</row>
    <row r="18" spans="1:13" x14ac:dyDescent="0.3">
      <c r="A18" s="14" t="s">
        <v>65</v>
      </c>
      <c r="B18" s="10">
        <v>5.664991216644385E-3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spans="1:13" x14ac:dyDescent="0.3">
      <c r="A19" s="14" t="s">
        <v>66</v>
      </c>
      <c r="B19" s="10">
        <v>4.8986542567023561E-3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</row>
    <row r="20" spans="1:13" x14ac:dyDescent="0.3">
      <c r="A20" s="14" t="s">
        <v>67</v>
      </c>
      <c r="B20" s="10">
        <v>3.8067259158579992E-3</v>
      </c>
    </row>
    <row r="21" spans="1:13" x14ac:dyDescent="0.3">
      <c r="A21" s="14" t="s">
        <v>68</v>
      </c>
      <c r="B21" s="10">
        <v>3.4674530056295395E-3</v>
      </c>
    </row>
    <row r="22" spans="1:13" x14ac:dyDescent="0.3">
      <c r="A22" s="14" t="s">
        <v>51</v>
      </c>
      <c r="B22" s="10">
        <v>8.5606062874889078E-3</v>
      </c>
    </row>
    <row r="23" spans="1:13" x14ac:dyDescent="0.3">
      <c r="A23" s="14" t="s">
        <v>69</v>
      </c>
      <c r="B23" s="10">
        <v>3.894653768427579E-3</v>
      </c>
    </row>
    <row r="24" spans="1:13" x14ac:dyDescent="0.3">
      <c r="A24" s="14" t="s">
        <v>20</v>
      </c>
      <c r="B24" s="10">
        <v>5.8293133917425223E-2</v>
      </c>
    </row>
    <row r="25" spans="1:13" x14ac:dyDescent="0.3">
      <c r="A25" s="14" t="s">
        <v>21</v>
      </c>
      <c r="B25" s="10">
        <v>4.0709879530613585E-2</v>
      </c>
    </row>
    <row r="26" spans="1:13" x14ac:dyDescent="0.3">
      <c r="A26" s="14" t="s">
        <v>22</v>
      </c>
      <c r="B26" s="10">
        <v>3.9002218446293334E-2</v>
      </c>
    </row>
    <row r="27" spans="1:13" x14ac:dyDescent="0.3">
      <c r="A27" s="14" t="s">
        <v>23</v>
      </c>
      <c r="B27" s="10">
        <v>3.6893261984581038E-2</v>
      </c>
    </row>
    <row r="28" spans="1:13" x14ac:dyDescent="0.3">
      <c r="A28" s="14" t="s">
        <v>24</v>
      </c>
      <c r="B28" s="10">
        <v>2.2784423000092494E-2</v>
      </c>
    </row>
    <row r="29" spans="1:13" x14ac:dyDescent="0.3">
      <c r="A29" s="14" t="s">
        <v>25</v>
      </c>
      <c r="B29" s="10">
        <v>1.9575443064851476E-2</v>
      </c>
    </row>
    <row r="30" spans="1:13" x14ac:dyDescent="0.3">
      <c r="A30" s="14" t="s">
        <v>26</v>
      </c>
      <c r="B30" s="10">
        <v>1.3745668486254518E-2</v>
      </c>
    </row>
    <row r="31" spans="1:13" x14ac:dyDescent="0.3">
      <c r="A31" s="14" t="s">
        <v>52</v>
      </c>
      <c r="B31" s="10">
        <v>5.7674024431785178E-3</v>
      </c>
    </row>
    <row r="32" spans="1:13" x14ac:dyDescent="0.3">
      <c r="A32" s="14" t="s">
        <v>27</v>
      </c>
      <c r="B32" s="10">
        <v>2.9086759725226393E-2</v>
      </c>
    </row>
    <row r="33" spans="1:2" x14ac:dyDescent="0.3">
      <c r="A33" s="14" t="s">
        <v>28</v>
      </c>
      <c r="B33" s="10">
        <v>1.4174554119923594E-2</v>
      </c>
    </row>
    <row r="34" spans="1:2" x14ac:dyDescent="0.3">
      <c r="A34" s="14" t="s">
        <v>29</v>
      </c>
      <c r="B34" s="10">
        <v>1.1184814069724864E-2</v>
      </c>
    </row>
    <row r="35" spans="1:2" x14ac:dyDescent="0.3">
      <c r="A35" s="14" t="s">
        <v>30</v>
      </c>
      <c r="B35" s="10">
        <v>1.9800951269647184E-2</v>
      </c>
    </row>
    <row r="36" spans="1:2" x14ac:dyDescent="0.3">
      <c r="A36" s="14" t="s">
        <v>31</v>
      </c>
      <c r="B36" s="10">
        <v>1.6081266189469184E-2</v>
      </c>
    </row>
    <row r="37" spans="1:2" x14ac:dyDescent="0.3">
      <c r="A37" s="14" t="s">
        <v>32</v>
      </c>
      <c r="B37" s="10">
        <v>1.3548305592720095E-2</v>
      </c>
    </row>
    <row r="38" spans="1:2" x14ac:dyDescent="0.3">
      <c r="A38" s="14" t="s">
        <v>33</v>
      </c>
      <c r="B38" s="10">
        <v>1.3700236711389251E-2</v>
      </c>
    </row>
    <row r="39" spans="1:2" x14ac:dyDescent="0.3">
      <c r="A39" s="14" t="s">
        <v>34</v>
      </c>
      <c r="B39" s="10">
        <v>1.4655092629812391E-2</v>
      </c>
    </row>
    <row r="40" spans="1:2" x14ac:dyDescent="0.3">
      <c r="A40" s="14" t="s">
        <v>35</v>
      </c>
      <c r="B40" s="10">
        <v>8.5977310507304189E-3</v>
      </c>
    </row>
    <row r="41" spans="1:2" x14ac:dyDescent="0.3">
      <c r="A41" s="14" t="s">
        <v>36</v>
      </c>
      <c r="B41" s="10">
        <v>9.6527089611250227E-3</v>
      </c>
    </row>
    <row r="42" spans="1:2" x14ac:dyDescent="0.3">
      <c r="A42" s="14" t="s">
        <v>53</v>
      </c>
      <c r="B42" s="10">
        <v>8.3169478605078714E-3</v>
      </c>
    </row>
    <row r="43" spans="1:2" x14ac:dyDescent="0.3">
      <c r="A43" s="14" t="s">
        <v>37</v>
      </c>
      <c r="B43" s="10">
        <v>9.5176707865745752E-3</v>
      </c>
    </row>
    <row r="44" spans="1:2" x14ac:dyDescent="0.3">
      <c r="A44" s="14" t="s">
        <v>38</v>
      </c>
      <c r="B44" s="10">
        <v>8.7615220910783123E-3</v>
      </c>
    </row>
    <row r="45" spans="1:2" x14ac:dyDescent="0.3">
      <c r="A45" s="14" t="s">
        <v>39</v>
      </c>
      <c r="B45" s="10">
        <v>1.1175912049348766E-2</v>
      </c>
    </row>
    <row r="46" spans="1:2" x14ac:dyDescent="0.3">
      <c r="A46" s="14" t="s">
        <v>40</v>
      </c>
      <c r="B46" s="10">
        <v>1.4027930977963302E-2</v>
      </c>
    </row>
    <row r="47" spans="1:2" x14ac:dyDescent="0.3">
      <c r="A47" s="14" t="s">
        <v>41</v>
      </c>
      <c r="B47" s="10">
        <v>1.1763310997496296E-2</v>
      </c>
    </row>
    <row r="48" spans="1:2" x14ac:dyDescent="0.3">
      <c r="A48" s="14" t="s">
        <v>42</v>
      </c>
      <c r="B48" s="10">
        <v>6.9469626131608052E-3</v>
      </c>
    </row>
    <row r="49" spans="1:2" x14ac:dyDescent="0.3">
      <c r="A49" s="14" t="s">
        <v>43</v>
      </c>
      <c r="B49" s="10">
        <v>7.9742506230642655E-3</v>
      </c>
    </row>
    <row r="50" spans="1:2" x14ac:dyDescent="0.3">
      <c r="A50" s="14" t="s">
        <v>44</v>
      </c>
      <c r="B50" s="10">
        <v>8.3051161978313793E-3</v>
      </c>
    </row>
    <row r="51" spans="1:2" x14ac:dyDescent="0.3">
      <c r="A51" s="14" t="s">
        <v>45</v>
      </c>
      <c r="B51" s="10">
        <v>1.075900228619954E-2</v>
      </c>
    </row>
    <row r="52" spans="1:2" x14ac:dyDescent="0.3">
      <c r="A52" s="14" t="s">
        <v>46</v>
      </c>
      <c r="B52" s="10">
        <v>6.6628754772463938E-3</v>
      </c>
    </row>
    <row r="53" spans="1:2" x14ac:dyDescent="0.3">
      <c r="A53" s="14" t="s">
        <v>54</v>
      </c>
      <c r="B53" s="10">
        <v>6.5925287295776243E-3</v>
      </c>
    </row>
    <row r="54" spans="1:2" x14ac:dyDescent="0.3">
      <c r="A54" s="14" t="s">
        <v>47</v>
      </c>
      <c r="B54" s="10">
        <v>5.6214028528899802E-3</v>
      </c>
    </row>
    <row r="55" spans="1:2" x14ac:dyDescent="0.3">
      <c r="A55" s="14" t="s">
        <v>48</v>
      </c>
      <c r="B55" s="10">
        <v>6.7792959785868108E-3</v>
      </c>
    </row>
    <row r="56" spans="1:2" x14ac:dyDescent="0.3">
      <c r="A56" s="14" t="s">
        <v>49</v>
      </c>
      <c r="B56" s="10">
        <v>6.4630116706949348E-3</v>
      </c>
    </row>
    <row r="57" spans="1:2" x14ac:dyDescent="0.3">
      <c r="A57" s="14" t="s">
        <v>50</v>
      </c>
      <c r="B57" s="10">
        <v>7.8100755584475682E-3</v>
      </c>
    </row>
    <row r="58" spans="1:2" x14ac:dyDescent="0.3">
      <c r="A58" s="14" t="s">
        <v>55</v>
      </c>
      <c r="B58" s="10">
        <v>8.042666857229909E-3</v>
      </c>
    </row>
    <row r="59" spans="1:2" x14ac:dyDescent="0.3">
      <c r="A59" s="14" t="s">
        <v>56</v>
      </c>
      <c r="B59" s="10">
        <v>3.7619610880896409E-3</v>
      </c>
    </row>
    <row r="60" spans="1:2" x14ac:dyDescent="0.3">
      <c r="A60" s="14" t="s">
        <v>57</v>
      </c>
      <c r="B60" s="10">
        <v>4.8392951778024919E-3</v>
      </c>
    </row>
    <row r="61" spans="1:2" x14ac:dyDescent="0.3">
      <c r="A61" s="14" t="s">
        <v>58</v>
      </c>
      <c r="B61" s="10">
        <v>8.0286279815307733E-3</v>
      </c>
    </row>
    <row r="62" spans="1:2" x14ac:dyDescent="0.3">
      <c r="A62" s="14" t="s">
        <v>14</v>
      </c>
      <c r="B62" s="10">
        <v>1.2218035026624958E-2</v>
      </c>
    </row>
    <row r="63" spans="1:2" x14ac:dyDescent="0.3">
      <c r="A63" s="18" t="s">
        <v>72</v>
      </c>
      <c r="B63" s="25"/>
    </row>
    <row r="64" spans="1:2" x14ac:dyDescent="0.3">
      <c r="A64" s="25"/>
      <c r="B64" s="25"/>
    </row>
  </sheetData>
  <mergeCells count="4">
    <mergeCell ref="D12:M19"/>
    <mergeCell ref="A8:B10"/>
    <mergeCell ref="A6:B7"/>
    <mergeCell ref="A63:B64"/>
  </mergeCells>
  <conditionalFormatting pivot="1" sqref="B12:B61">
    <cfRule type="top10" dxfId="0" priority="1" rank="1"/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0A6E-3C03-421E-8C84-B2AE8DACA127}">
  <sheetPr>
    <tabColor rgb="FF00B0F0"/>
  </sheetPr>
  <dimension ref="A4:L59"/>
  <sheetViews>
    <sheetView topLeftCell="A21" workbookViewId="0">
      <selection activeCell="C11" sqref="C11"/>
    </sheetView>
  </sheetViews>
  <sheetFormatPr defaultRowHeight="14.4" x14ac:dyDescent="0.3"/>
  <cols>
    <col min="1" max="1" width="12.5546875" bestFit="1" customWidth="1"/>
    <col min="2" max="2" width="20.77734375" bestFit="1" customWidth="1"/>
    <col min="3" max="3" width="31.109375" bestFit="1" customWidth="1"/>
  </cols>
  <sheetData>
    <row r="4" spans="1:5" x14ac:dyDescent="0.3">
      <c r="A4" s="26" t="s">
        <v>79</v>
      </c>
      <c r="B4" s="26"/>
      <c r="C4" s="26"/>
    </row>
    <row r="5" spans="1:5" x14ac:dyDescent="0.3">
      <c r="A5" s="26"/>
      <c r="B5" s="26"/>
      <c r="C5" s="26"/>
      <c r="E5" s="14"/>
    </row>
    <row r="6" spans="1:5" x14ac:dyDescent="0.3">
      <c r="A6" s="25" t="s">
        <v>78</v>
      </c>
      <c r="B6" s="25"/>
      <c r="C6" s="25"/>
    </row>
    <row r="7" spans="1:5" x14ac:dyDescent="0.3">
      <c r="A7" s="25"/>
      <c r="B7" s="25"/>
      <c r="C7" s="25"/>
    </row>
    <row r="8" spans="1:5" x14ac:dyDescent="0.3">
      <c r="A8" s="13" t="s">
        <v>13</v>
      </c>
      <c r="B8" t="s">
        <v>77</v>
      </c>
      <c r="C8" t="s">
        <v>76</v>
      </c>
    </row>
    <row r="9" spans="1:5" x14ac:dyDescent="0.3">
      <c r="A9" s="14" t="s">
        <v>59</v>
      </c>
      <c r="B9" s="12">
        <v>5097.25</v>
      </c>
      <c r="C9" s="12">
        <v>6371.9166666666661</v>
      </c>
    </row>
    <row r="10" spans="1:5" x14ac:dyDescent="0.3">
      <c r="A10" s="14" t="s">
        <v>60</v>
      </c>
      <c r="B10" s="12">
        <v>4451.75</v>
      </c>
      <c r="C10" s="12">
        <v>5003.416666666667</v>
      </c>
    </row>
    <row r="11" spans="1:5" x14ac:dyDescent="0.3">
      <c r="A11" s="14" t="s">
        <v>61</v>
      </c>
      <c r="B11" s="12">
        <v>7005</v>
      </c>
      <c r="C11" s="12">
        <v>5139.333333333333</v>
      </c>
    </row>
    <row r="12" spans="1:5" x14ac:dyDescent="0.3">
      <c r="A12" s="14" t="s">
        <v>62</v>
      </c>
      <c r="B12" s="12">
        <v>6354</v>
      </c>
      <c r="C12" s="12">
        <v>6426.166666666667</v>
      </c>
    </row>
    <row r="13" spans="1:5" x14ac:dyDescent="0.3">
      <c r="A13" s="14" t="s">
        <v>63</v>
      </c>
      <c r="B13" s="12">
        <v>3906.75</v>
      </c>
      <c r="C13" s="12">
        <v>5989.166666666667</v>
      </c>
    </row>
    <row r="14" spans="1:5" x14ac:dyDescent="0.3">
      <c r="A14" s="14" t="s">
        <v>64</v>
      </c>
      <c r="B14" s="12">
        <v>5180</v>
      </c>
      <c r="C14" s="12">
        <v>4245.5833333333339</v>
      </c>
    </row>
    <row r="15" spans="1:5" x14ac:dyDescent="0.3">
      <c r="A15" s="14" t="s">
        <v>65</v>
      </c>
      <c r="B15" s="12">
        <v>6248.75</v>
      </c>
      <c r="C15" s="12">
        <v>5543.833333333333</v>
      </c>
    </row>
    <row r="16" spans="1:5" x14ac:dyDescent="0.3">
      <c r="A16" s="14" t="s">
        <v>66</v>
      </c>
      <c r="B16" s="12">
        <v>5517.5</v>
      </c>
      <c r="C16" s="12">
        <v>5857.916666666667</v>
      </c>
    </row>
    <row r="17" spans="1:12" x14ac:dyDescent="0.3">
      <c r="A17" s="14" t="s">
        <v>67</v>
      </c>
      <c r="B17" s="12">
        <v>4362.25</v>
      </c>
      <c r="C17" s="12">
        <v>3981</v>
      </c>
    </row>
    <row r="18" spans="1:12" x14ac:dyDescent="0.3">
      <c r="A18" s="14" t="s">
        <v>68</v>
      </c>
      <c r="B18" s="12">
        <v>4032.25</v>
      </c>
      <c r="C18" s="12">
        <v>4130.833333333333</v>
      </c>
    </row>
    <row r="19" spans="1:12" x14ac:dyDescent="0.3">
      <c r="A19" s="14" t="s">
        <v>51</v>
      </c>
      <c r="B19" s="12">
        <v>6764.25</v>
      </c>
      <c r="C19" s="12">
        <v>6825.3333333333321</v>
      </c>
    </row>
    <row r="20" spans="1:12" x14ac:dyDescent="0.3">
      <c r="A20" s="14" t="s">
        <v>69</v>
      </c>
      <c r="B20" s="12">
        <v>4596.75</v>
      </c>
      <c r="C20" s="12">
        <v>4733.916666666667</v>
      </c>
    </row>
    <row r="21" spans="1:12" x14ac:dyDescent="0.3">
      <c r="A21" s="14" t="s">
        <v>20</v>
      </c>
      <c r="B21" s="12">
        <v>6800.75</v>
      </c>
      <c r="C21" s="12">
        <v>6444</v>
      </c>
    </row>
    <row r="22" spans="1:12" x14ac:dyDescent="0.3">
      <c r="A22" s="14" t="s">
        <v>21</v>
      </c>
      <c r="B22" s="12">
        <v>5765.5</v>
      </c>
      <c r="C22" s="12">
        <v>7402.1666666666661</v>
      </c>
    </row>
    <row r="23" spans="1:12" x14ac:dyDescent="0.3">
      <c r="A23" s="14" t="s">
        <v>22</v>
      </c>
      <c r="B23" s="12">
        <v>6482.75</v>
      </c>
      <c r="C23" s="12">
        <v>5740.083333333333</v>
      </c>
    </row>
    <row r="24" spans="1:12" x14ac:dyDescent="0.3">
      <c r="A24" s="14" t="s">
        <v>23</v>
      </c>
      <c r="B24" s="12">
        <v>7155.5</v>
      </c>
      <c r="C24" s="12">
        <v>6745.666666666667</v>
      </c>
    </row>
    <row r="25" spans="1:12" x14ac:dyDescent="0.3">
      <c r="A25" s="14" t="s">
        <v>24</v>
      </c>
      <c r="B25" s="12">
        <v>4958.25</v>
      </c>
      <c r="C25" s="12">
        <v>6494.583333333333</v>
      </c>
    </row>
    <row r="26" spans="1:12" x14ac:dyDescent="0.3">
      <c r="A26" s="14" t="s">
        <v>25</v>
      </c>
      <c r="B26" s="12">
        <v>4632.25</v>
      </c>
      <c r="C26" s="12">
        <v>4547.5</v>
      </c>
    </row>
    <row r="27" spans="1:12" x14ac:dyDescent="0.3">
      <c r="A27" s="14" t="s">
        <v>26</v>
      </c>
      <c r="B27" s="12">
        <v>3471.25</v>
      </c>
      <c r="C27" s="12">
        <v>4235.8333333333339</v>
      </c>
    </row>
    <row r="28" spans="1:12" x14ac:dyDescent="0.3">
      <c r="A28" s="14" t="s">
        <v>52</v>
      </c>
      <c r="B28" s="12">
        <v>4684.25</v>
      </c>
      <c r="C28" s="12">
        <v>5422.4166666666661</v>
      </c>
    </row>
    <row r="29" spans="1:12" x14ac:dyDescent="0.3">
      <c r="A29" s="14" t="s">
        <v>27</v>
      </c>
      <c r="B29" s="12">
        <v>8054.5</v>
      </c>
      <c r="C29" s="12">
        <v>5051.166666666667</v>
      </c>
      <c r="E29" s="30" t="s">
        <v>80</v>
      </c>
      <c r="F29" s="31"/>
      <c r="G29" s="31"/>
      <c r="H29" s="31"/>
      <c r="I29" s="31"/>
      <c r="J29" s="31"/>
      <c r="K29" s="31"/>
      <c r="L29" s="31"/>
    </row>
    <row r="30" spans="1:12" x14ac:dyDescent="0.3">
      <c r="A30" s="14" t="s">
        <v>28</v>
      </c>
      <c r="B30" s="12">
        <v>4255.25</v>
      </c>
      <c r="C30" s="12">
        <v>5932.2500000000009</v>
      </c>
      <c r="E30" s="31"/>
      <c r="F30" s="31"/>
      <c r="G30" s="31"/>
      <c r="H30" s="31"/>
      <c r="I30" s="31"/>
      <c r="J30" s="31"/>
      <c r="K30" s="31"/>
      <c r="L30" s="31"/>
    </row>
    <row r="31" spans="1:12" x14ac:dyDescent="0.3">
      <c r="A31" s="14" t="s">
        <v>29</v>
      </c>
      <c r="B31" s="12">
        <v>3525</v>
      </c>
      <c r="C31" s="12">
        <v>4164.9166666666661</v>
      </c>
      <c r="E31" s="31"/>
      <c r="F31" s="31"/>
      <c r="G31" s="31"/>
      <c r="H31" s="31"/>
      <c r="I31" s="31"/>
      <c r="J31" s="31"/>
      <c r="K31" s="31"/>
      <c r="L31" s="31"/>
    </row>
    <row r="32" spans="1:12" x14ac:dyDescent="0.3">
      <c r="A32" s="14" t="s">
        <v>30</v>
      </c>
      <c r="B32" s="12">
        <v>6671.5</v>
      </c>
      <c r="C32" s="12">
        <v>5104</v>
      </c>
      <c r="E32" s="31"/>
      <c r="F32" s="31"/>
      <c r="G32" s="31"/>
      <c r="H32" s="31"/>
      <c r="I32" s="31"/>
      <c r="J32" s="31"/>
      <c r="K32" s="31"/>
      <c r="L32" s="31"/>
    </row>
    <row r="33" spans="1:12" x14ac:dyDescent="0.3">
      <c r="A33" s="14" t="s">
        <v>31</v>
      </c>
      <c r="B33" s="12">
        <v>5815.5</v>
      </c>
      <c r="C33" s="12">
        <v>6645.916666666667</v>
      </c>
      <c r="E33" s="31"/>
      <c r="F33" s="31"/>
      <c r="G33" s="31"/>
      <c r="H33" s="31"/>
      <c r="I33" s="31"/>
      <c r="J33" s="31"/>
      <c r="K33" s="31"/>
      <c r="L33" s="31"/>
    </row>
    <row r="34" spans="1:12" x14ac:dyDescent="0.3">
      <c r="A34" s="14" t="s">
        <v>32</v>
      </c>
      <c r="B34" s="12">
        <v>5200</v>
      </c>
      <c r="C34" s="12">
        <v>4687.083333333333</v>
      </c>
      <c r="E34" s="31"/>
      <c r="F34" s="31"/>
      <c r="G34" s="31"/>
      <c r="H34" s="31"/>
      <c r="I34" s="31"/>
      <c r="J34" s="31"/>
      <c r="K34" s="31"/>
      <c r="L34" s="31"/>
    </row>
    <row r="35" spans="1:12" x14ac:dyDescent="0.3">
      <c r="A35" s="14" t="s">
        <v>33</v>
      </c>
      <c r="B35" s="12">
        <v>5554.25</v>
      </c>
      <c r="C35" s="12">
        <v>5419.083333333333</v>
      </c>
    </row>
    <row r="36" spans="1:12" x14ac:dyDescent="0.3">
      <c r="A36" s="14" t="s">
        <v>34</v>
      </c>
      <c r="B36" s="12">
        <v>6294</v>
      </c>
      <c r="C36" s="12">
        <v>6900.2500000000009</v>
      </c>
    </row>
    <row r="37" spans="1:12" x14ac:dyDescent="0.3">
      <c r="A37" s="14" t="s">
        <v>35</v>
      </c>
      <c r="B37" s="12">
        <v>3858</v>
      </c>
      <c r="C37" s="12">
        <v>5052.083333333333</v>
      </c>
    </row>
    <row r="38" spans="1:12" x14ac:dyDescent="0.3">
      <c r="A38" s="14" t="s">
        <v>36</v>
      </c>
      <c r="B38" s="12">
        <v>4495.5</v>
      </c>
      <c r="C38" s="12">
        <v>2998.3333333333335</v>
      </c>
    </row>
    <row r="39" spans="1:12" x14ac:dyDescent="0.3">
      <c r="A39" s="14" t="s">
        <v>53</v>
      </c>
      <c r="B39" s="12">
        <v>6952.25</v>
      </c>
      <c r="C39" s="12">
        <v>5435.5</v>
      </c>
    </row>
    <row r="40" spans="1:12" x14ac:dyDescent="0.3">
      <c r="A40" s="14" t="s">
        <v>37</v>
      </c>
      <c r="B40" s="12">
        <v>4608.5</v>
      </c>
      <c r="C40" s="12">
        <v>6177.5</v>
      </c>
    </row>
    <row r="41" spans="1:12" x14ac:dyDescent="0.3">
      <c r="A41" s="14" t="s">
        <v>38</v>
      </c>
      <c r="B41" s="12">
        <v>4394.25</v>
      </c>
      <c r="C41" s="12">
        <v>3424.333333333333</v>
      </c>
    </row>
    <row r="42" spans="1:12" x14ac:dyDescent="0.3">
      <c r="A42" s="14" t="s">
        <v>39</v>
      </c>
      <c r="B42" s="12">
        <v>5842.75</v>
      </c>
      <c r="C42" s="12">
        <v>5788.4166666666661</v>
      </c>
    </row>
    <row r="43" spans="1:12" x14ac:dyDescent="0.3">
      <c r="A43" s="14" t="s">
        <v>40</v>
      </c>
      <c r="B43" s="12">
        <v>7722.75</v>
      </c>
      <c r="C43" s="12">
        <v>6168.583333333333</v>
      </c>
    </row>
    <row r="44" spans="1:12" x14ac:dyDescent="0.3">
      <c r="A44" s="14" t="s">
        <v>41</v>
      </c>
      <c r="B44" s="12">
        <v>6813.5</v>
      </c>
      <c r="C44" s="12">
        <v>7166.333333333333</v>
      </c>
    </row>
    <row r="45" spans="1:12" x14ac:dyDescent="0.3">
      <c r="A45" s="14" t="s">
        <v>42</v>
      </c>
      <c r="B45" s="12">
        <v>4171.25</v>
      </c>
      <c r="C45" s="12">
        <v>6391.25</v>
      </c>
    </row>
    <row r="46" spans="1:12" x14ac:dyDescent="0.3">
      <c r="A46" s="14" t="s">
        <v>43</v>
      </c>
      <c r="B46" s="12">
        <v>4937.75</v>
      </c>
      <c r="C46" s="12">
        <v>3545.333333333333</v>
      </c>
    </row>
    <row r="47" spans="1:12" x14ac:dyDescent="0.3">
      <c r="A47" s="14" t="s">
        <v>44</v>
      </c>
      <c r="B47" s="12">
        <v>5309.5</v>
      </c>
      <c r="C47" s="12">
        <v>5468.416666666667</v>
      </c>
    </row>
    <row r="48" spans="1:12" x14ac:dyDescent="0.3">
      <c r="A48" s="14" t="s">
        <v>45</v>
      </c>
      <c r="B48" s="12">
        <v>7156.25</v>
      </c>
      <c r="C48" s="12">
        <v>6554.4166666666661</v>
      </c>
    </row>
    <row r="49" spans="1:3" x14ac:dyDescent="0.3">
      <c r="A49" s="14" t="s">
        <v>46</v>
      </c>
      <c r="B49" s="12">
        <v>4582.5</v>
      </c>
      <c r="C49" s="12">
        <v>5159.333333333333</v>
      </c>
    </row>
    <row r="50" spans="1:3" x14ac:dyDescent="0.3">
      <c r="A50" s="14" t="s">
        <v>54</v>
      </c>
      <c r="B50" s="12">
        <v>5673</v>
      </c>
      <c r="C50" s="12">
        <v>6562.0833333333339</v>
      </c>
    </row>
    <row r="51" spans="1:3" x14ac:dyDescent="0.3">
      <c r="A51" s="14" t="s">
        <v>47</v>
      </c>
      <c r="B51" s="12">
        <v>3960.5</v>
      </c>
      <c r="C51" s="12">
        <v>5340.583333333333</v>
      </c>
    </row>
    <row r="52" spans="1:3" x14ac:dyDescent="0.3">
      <c r="A52" s="14" t="s">
        <v>48</v>
      </c>
      <c r="B52" s="12">
        <v>4901</v>
      </c>
      <c r="C52" s="12">
        <v>3134.25</v>
      </c>
    </row>
    <row r="53" spans="1:3" x14ac:dyDescent="0.3">
      <c r="A53" s="14" t="s">
        <v>49</v>
      </c>
      <c r="B53" s="12">
        <v>4795.75</v>
      </c>
      <c r="C53" s="12">
        <v>4666</v>
      </c>
    </row>
    <row r="54" spans="1:3" x14ac:dyDescent="0.3">
      <c r="A54" s="14" t="s">
        <v>50</v>
      </c>
      <c r="B54" s="12">
        <v>5967.5</v>
      </c>
      <c r="C54" s="12">
        <v>6670.916666666667</v>
      </c>
    </row>
    <row r="55" spans="1:3" x14ac:dyDescent="0.3">
      <c r="A55" s="14" t="s">
        <v>55</v>
      </c>
      <c r="B55" s="12">
        <v>7133.25</v>
      </c>
      <c r="C55" s="12">
        <v>5371.583333333333</v>
      </c>
    </row>
    <row r="56" spans="1:3" x14ac:dyDescent="0.3">
      <c r="A56" s="14" t="s">
        <v>56</v>
      </c>
      <c r="B56" s="12">
        <v>3410.5</v>
      </c>
      <c r="C56" s="12">
        <v>5468</v>
      </c>
    </row>
    <row r="57" spans="1:3" x14ac:dyDescent="0.3">
      <c r="A57" s="14" t="s">
        <v>57</v>
      </c>
      <c r="B57" s="12">
        <v>4464.75</v>
      </c>
      <c r="C57" s="12">
        <v>3675.5833333333335</v>
      </c>
    </row>
    <row r="58" spans="1:3" x14ac:dyDescent="0.3">
      <c r="A58" s="14" t="s">
        <v>58</v>
      </c>
      <c r="B58" s="12">
        <v>7611.5</v>
      </c>
      <c r="C58" s="12">
        <v>7148.2499999999991</v>
      </c>
    </row>
    <row r="59" spans="1:3" x14ac:dyDescent="0.3">
      <c r="A59" s="14" t="s">
        <v>14</v>
      </c>
      <c r="B59" s="12">
        <v>5431.99</v>
      </c>
      <c r="C59" s="12">
        <v>5451.0483333333341</v>
      </c>
    </row>
  </sheetData>
  <mergeCells count="3">
    <mergeCell ref="A6:C7"/>
    <mergeCell ref="A4:C5"/>
    <mergeCell ref="E29:L3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5858-730D-43D2-99E9-722E08A261C5}">
  <sheetPr>
    <tabColor rgb="FF00B0F0"/>
  </sheetPr>
  <dimension ref="A1:S201"/>
  <sheetViews>
    <sheetView topLeftCell="F10" workbookViewId="0">
      <selection activeCell="H1" sqref="H1:I1048576"/>
    </sheetView>
  </sheetViews>
  <sheetFormatPr defaultRowHeight="14.4" x14ac:dyDescent="0.3"/>
  <cols>
    <col min="1" max="2" width="17.5546875" customWidth="1"/>
    <col min="3" max="3" width="19.77734375" customWidth="1"/>
    <col min="4" max="4" width="16.109375" customWidth="1"/>
    <col min="5" max="5" width="13.6640625" customWidth="1"/>
    <col min="6" max="6" width="12.21875" customWidth="1"/>
    <col min="7" max="7" width="16.44140625" bestFit="1" customWidth="1"/>
    <col min="8" max="8" width="14.109375" customWidth="1"/>
    <col min="9" max="9" width="13.21875" customWidth="1"/>
    <col min="10" max="10" width="17.109375" customWidth="1"/>
    <col min="11" max="11" width="20.77734375" customWidth="1"/>
  </cols>
  <sheetData>
    <row r="1" spans="1:19" x14ac:dyDescent="0.3">
      <c r="A1" s="1" t="s">
        <v>0</v>
      </c>
      <c r="B1" s="16" t="s">
        <v>75</v>
      </c>
      <c r="C1" s="2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6" t="s">
        <v>7</v>
      </c>
      <c r="J1" s="6" t="s">
        <v>8</v>
      </c>
      <c r="K1" s="15" t="s">
        <v>74</v>
      </c>
    </row>
    <row r="2" spans="1:19" x14ac:dyDescent="0.3">
      <c r="A2" s="7">
        <v>45446</v>
      </c>
      <c r="B2" s="7" t="str">
        <f>"Week "&amp;WEEKNUM(A2)</f>
        <v>Week 23</v>
      </c>
      <c r="C2" s="8" t="s">
        <v>9</v>
      </c>
      <c r="D2" s="9">
        <v>4138</v>
      </c>
      <c r="E2" s="9">
        <v>361</v>
      </c>
      <c r="F2" s="9">
        <v>103777</v>
      </c>
      <c r="G2" s="10">
        <v>0.5663779064725325</v>
      </c>
      <c r="H2" s="11">
        <v>23944</v>
      </c>
      <c r="I2" s="12">
        <f t="shared" ref="I2:I33" si="0">D2-E2</f>
        <v>3777</v>
      </c>
      <c r="J2" s="10">
        <f t="shared" ref="J2:J33" si="1">I2/F2</f>
        <v>3.6395347716738774E-2</v>
      </c>
      <c r="K2" s="12">
        <f>I2</f>
        <v>3777</v>
      </c>
    </row>
    <row r="3" spans="1:19" x14ac:dyDescent="0.3">
      <c r="A3" s="7">
        <v>45446</v>
      </c>
      <c r="B3" s="7" t="str">
        <f t="shared" ref="B3:B66" si="2">"Week "&amp;WEEKNUM(A3)</f>
        <v>Week 23</v>
      </c>
      <c r="C3" s="8" t="s">
        <v>10</v>
      </c>
      <c r="D3" s="9">
        <v>8693</v>
      </c>
      <c r="E3" s="9">
        <v>1261</v>
      </c>
      <c r="F3" s="9">
        <v>111209</v>
      </c>
      <c r="G3" s="10">
        <v>0.69475492091467417</v>
      </c>
      <c r="H3" s="11">
        <v>29873</v>
      </c>
      <c r="I3" s="12">
        <f t="shared" si="0"/>
        <v>7432</v>
      </c>
      <c r="J3" s="10">
        <f t="shared" si="1"/>
        <v>6.6829123542159363E-2</v>
      </c>
      <c r="K3" s="12">
        <f>I3</f>
        <v>7432</v>
      </c>
    </row>
    <row r="4" spans="1:19" x14ac:dyDescent="0.3">
      <c r="A4" s="7">
        <v>45446</v>
      </c>
      <c r="B4" s="7" t="str">
        <f t="shared" si="2"/>
        <v>Week 23</v>
      </c>
      <c r="C4" s="8" t="s">
        <v>11</v>
      </c>
      <c r="D4" s="9">
        <v>9264</v>
      </c>
      <c r="E4" s="9">
        <v>1141</v>
      </c>
      <c r="F4" s="9">
        <v>119332</v>
      </c>
      <c r="G4" s="10">
        <v>0.92312204605638049</v>
      </c>
      <c r="H4" s="11">
        <v>50372</v>
      </c>
      <c r="I4" s="12">
        <f t="shared" si="0"/>
        <v>8123</v>
      </c>
      <c r="J4" s="10">
        <f t="shared" si="1"/>
        <v>6.8070592967519189E-2</v>
      </c>
      <c r="K4" s="12">
        <f>I4</f>
        <v>8123</v>
      </c>
    </row>
    <row r="5" spans="1:19" x14ac:dyDescent="0.3">
      <c r="A5" s="7">
        <v>45446</v>
      </c>
      <c r="B5" s="7" t="str">
        <f t="shared" si="2"/>
        <v>Week 23</v>
      </c>
      <c r="C5" s="8" t="s">
        <v>11</v>
      </c>
      <c r="D5" s="9">
        <v>8842</v>
      </c>
      <c r="E5" s="9">
        <v>971</v>
      </c>
      <c r="F5" s="9">
        <v>127203</v>
      </c>
      <c r="G5" s="10">
        <v>0.16351815601833292</v>
      </c>
      <c r="H5" s="11">
        <v>33928</v>
      </c>
      <c r="I5" s="12">
        <f t="shared" si="0"/>
        <v>7871</v>
      </c>
      <c r="J5" s="10">
        <f t="shared" si="1"/>
        <v>6.1877471443283573E-2</v>
      </c>
      <c r="K5" s="12">
        <f>AVERAGE(I2:I4)</f>
        <v>6444</v>
      </c>
    </row>
    <row r="6" spans="1:19" x14ac:dyDescent="0.3">
      <c r="A6" s="7">
        <v>45453</v>
      </c>
      <c r="B6" s="7" t="str">
        <f t="shared" si="2"/>
        <v>Week 24</v>
      </c>
      <c r="C6" s="8" t="s">
        <v>9</v>
      </c>
      <c r="D6" s="9">
        <v>7721</v>
      </c>
      <c r="E6" s="9">
        <v>506</v>
      </c>
      <c r="F6" s="9">
        <v>134418</v>
      </c>
      <c r="G6" s="10">
        <v>0.35577824398518049</v>
      </c>
      <c r="H6" s="11">
        <v>25379</v>
      </c>
      <c r="I6" s="12">
        <f t="shared" si="0"/>
        <v>7215</v>
      </c>
      <c r="J6" s="10">
        <f t="shared" si="1"/>
        <v>5.3675846984778827E-2</v>
      </c>
      <c r="K6" s="12">
        <f>AVERAGE(I3:I5)</f>
        <v>7808.666666666667</v>
      </c>
      <c r="M6" s="17" t="s">
        <v>82</v>
      </c>
      <c r="N6" s="17"/>
      <c r="O6" s="17"/>
      <c r="P6" s="17"/>
      <c r="Q6" s="17"/>
      <c r="R6" s="17"/>
      <c r="S6" s="17"/>
    </row>
    <row r="7" spans="1:19" x14ac:dyDescent="0.3">
      <c r="A7" s="7">
        <v>45453</v>
      </c>
      <c r="B7" s="7" t="str">
        <f t="shared" si="2"/>
        <v>Week 24</v>
      </c>
      <c r="C7" s="8" t="s">
        <v>11</v>
      </c>
      <c r="D7" s="9">
        <v>8002</v>
      </c>
      <c r="E7" s="9">
        <v>524</v>
      </c>
      <c r="F7" s="9">
        <v>141896</v>
      </c>
      <c r="G7" s="10">
        <v>0.52064892597395274</v>
      </c>
      <c r="H7" s="11">
        <v>46751</v>
      </c>
      <c r="I7" s="12">
        <f t="shared" si="0"/>
        <v>7478</v>
      </c>
      <c r="J7" s="10">
        <f t="shared" si="1"/>
        <v>5.270056943113266E-2</v>
      </c>
      <c r="K7" s="12">
        <f>AVERAGE(I4:I6)</f>
        <v>7736.333333333333</v>
      </c>
      <c r="M7" s="17"/>
      <c r="N7" s="17"/>
      <c r="O7" s="17"/>
      <c r="P7" s="17"/>
      <c r="Q7" s="17"/>
      <c r="R7" s="17"/>
      <c r="S7" s="17"/>
    </row>
    <row r="8" spans="1:19" x14ac:dyDescent="0.3">
      <c r="A8" s="7">
        <v>45453</v>
      </c>
      <c r="B8" s="7" t="str">
        <f t="shared" si="2"/>
        <v>Week 24</v>
      </c>
      <c r="C8" s="8" t="s">
        <v>10</v>
      </c>
      <c r="D8" s="9">
        <v>5225</v>
      </c>
      <c r="E8" s="9">
        <v>291</v>
      </c>
      <c r="F8" s="9">
        <v>146830</v>
      </c>
      <c r="G8" s="10">
        <v>0.19551862698358652</v>
      </c>
      <c r="H8" s="11">
        <v>44546</v>
      </c>
      <c r="I8" s="12">
        <f t="shared" si="0"/>
        <v>4934</v>
      </c>
      <c r="J8" s="10">
        <f t="shared" si="1"/>
        <v>3.3603487025812166E-2</v>
      </c>
      <c r="K8" s="12">
        <f t="shared" ref="K8:K71" si="3">AVERAGE(I5:I7)</f>
        <v>7521.333333333333</v>
      </c>
      <c r="M8" s="18" t="s">
        <v>81</v>
      </c>
      <c r="N8" s="19"/>
      <c r="O8" s="19"/>
      <c r="P8" s="19"/>
      <c r="Q8" s="19"/>
      <c r="R8" s="19"/>
      <c r="S8" s="19"/>
    </row>
    <row r="9" spans="1:19" x14ac:dyDescent="0.3">
      <c r="A9" s="7">
        <v>45453</v>
      </c>
      <c r="B9" s="7" t="str">
        <f t="shared" si="2"/>
        <v>Week 24</v>
      </c>
      <c r="C9" s="8" t="s">
        <v>10</v>
      </c>
      <c r="D9" s="9">
        <v>3978</v>
      </c>
      <c r="E9" s="9">
        <v>543</v>
      </c>
      <c r="F9" s="9">
        <v>150265</v>
      </c>
      <c r="G9" s="10">
        <v>0.4915981765547533</v>
      </c>
      <c r="H9" s="11">
        <v>34286</v>
      </c>
      <c r="I9" s="12">
        <f t="shared" si="0"/>
        <v>3435</v>
      </c>
      <c r="J9" s="10">
        <f t="shared" si="1"/>
        <v>2.2859614680730708E-2</v>
      </c>
      <c r="K9" s="12">
        <f t="shared" si="3"/>
        <v>6542.333333333333</v>
      </c>
      <c r="M9" s="19"/>
      <c r="N9" s="19"/>
      <c r="O9" s="19"/>
      <c r="P9" s="19"/>
      <c r="Q9" s="19"/>
      <c r="R9" s="19"/>
      <c r="S9" s="19"/>
    </row>
    <row r="10" spans="1:19" x14ac:dyDescent="0.3">
      <c r="A10" s="7">
        <v>45460</v>
      </c>
      <c r="B10" s="7" t="str">
        <f t="shared" si="2"/>
        <v>Week 25</v>
      </c>
      <c r="C10" s="8" t="s">
        <v>9</v>
      </c>
      <c r="D10" s="9">
        <v>8373</v>
      </c>
      <c r="E10" s="9">
        <v>921</v>
      </c>
      <c r="F10" s="9">
        <v>157717</v>
      </c>
      <c r="G10" s="10">
        <v>0.12226329438170901</v>
      </c>
      <c r="H10" s="11">
        <v>15110</v>
      </c>
      <c r="I10" s="12">
        <f t="shared" si="0"/>
        <v>7452</v>
      </c>
      <c r="J10" s="10">
        <f t="shared" si="1"/>
        <v>4.7249186834646864E-2</v>
      </c>
      <c r="K10" s="12">
        <f t="shared" si="3"/>
        <v>5282.333333333333</v>
      </c>
    </row>
    <row r="11" spans="1:19" x14ac:dyDescent="0.3">
      <c r="A11" s="7">
        <v>45460</v>
      </c>
      <c r="B11" s="7" t="str">
        <f t="shared" si="2"/>
        <v>Week 25</v>
      </c>
      <c r="C11" s="8" t="s">
        <v>10</v>
      </c>
      <c r="D11" s="9">
        <v>6907</v>
      </c>
      <c r="E11" s="9">
        <v>834</v>
      </c>
      <c r="F11" s="9">
        <v>163790</v>
      </c>
      <c r="G11" s="10">
        <v>0.54158984064961235</v>
      </c>
      <c r="H11" s="11">
        <v>22087</v>
      </c>
      <c r="I11" s="12">
        <f t="shared" si="0"/>
        <v>6073</v>
      </c>
      <c r="J11" s="10">
        <f t="shared" si="1"/>
        <v>3.7077965687770928E-2</v>
      </c>
      <c r="K11" s="12">
        <f t="shared" si="3"/>
        <v>5273.666666666667</v>
      </c>
    </row>
    <row r="12" spans="1:19" x14ac:dyDescent="0.3">
      <c r="A12" s="7">
        <v>45460</v>
      </c>
      <c r="B12" s="7" t="str">
        <f t="shared" si="2"/>
        <v>Week 25</v>
      </c>
      <c r="C12" s="8" t="s">
        <v>12</v>
      </c>
      <c r="D12" s="9">
        <v>7097</v>
      </c>
      <c r="E12" s="9">
        <v>369</v>
      </c>
      <c r="F12" s="9">
        <v>170518</v>
      </c>
      <c r="G12" s="10">
        <v>9.2506362964613717E-2</v>
      </c>
      <c r="H12" s="11">
        <v>33762</v>
      </c>
      <c r="I12" s="12">
        <f t="shared" si="0"/>
        <v>6728</v>
      </c>
      <c r="J12" s="10">
        <f t="shared" si="1"/>
        <v>3.9456245088495059E-2</v>
      </c>
      <c r="K12" s="12">
        <f t="shared" si="3"/>
        <v>5653.333333333333</v>
      </c>
    </row>
    <row r="13" spans="1:19" x14ac:dyDescent="0.3">
      <c r="A13" s="7">
        <v>45460</v>
      </c>
      <c r="B13" s="7" t="str">
        <f t="shared" si="2"/>
        <v>Week 25</v>
      </c>
      <c r="C13" s="8" t="s">
        <v>9</v>
      </c>
      <c r="D13" s="9">
        <v>6656</v>
      </c>
      <c r="E13" s="9">
        <v>978</v>
      </c>
      <c r="F13" s="9">
        <v>176196</v>
      </c>
      <c r="G13" s="10">
        <v>0.60425889350496043</v>
      </c>
      <c r="H13" s="11">
        <v>27081</v>
      </c>
      <c r="I13" s="12">
        <f t="shared" si="0"/>
        <v>5678</v>
      </c>
      <c r="J13" s="10">
        <f t="shared" si="1"/>
        <v>3.2225476174260484E-2</v>
      </c>
      <c r="K13" s="12">
        <f t="shared" si="3"/>
        <v>6751</v>
      </c>
    </row>
    <row r="14" spans="1:19" x14ac:dyDescent="0.3">
      <c r="A14" s="7">
        <v>45467</v>
      </c>
      <c r="B14" s="7" t="str">
        <f t="shared" si="2"/>
        <v>Week 26</v>
      </c>
      <c r="C14" s="8" t="s">
        <v>10</v>
      </c>
      <c r="D14" s="9">
        <v>9984</v>
      </c>
      <c r="E14" s="9">
        <v>1330</v>
      </c>
      <c r="F14" s="9">
        <v>184850</v>
      </c>
      <c r="G14" s="10">
        <v>0.57524479307546661</v>
      </c>
      <c r="H14" s="11">
        <v>44947</v>
      </c>
      <c r="I14" s="12">
        <f t="shared" si="0"/>
        <v>8654</v>
      </c>
      <c r="J14" s="10">
        <f t="shared" si="1"/>
        <v>4.6816337571003515E-2</v>
      </c>
      <c r="K14" s="12">
        <f t="shared" si="3"/>
        <v>6159.666666666667</v>
      </c>
    </row>
    <row r="15" spans="1:19" x14ac:dyDescent="0.3">
      <c r="A15" s="7">
        <v>45467</v>
      </c>
      <c r="B15" s="7" t="str">
        <f t="shared" si="2"/>
        <v>Week 26</v>
      </c>
      <c r="C15" s="8" t="s">
        <v>9</v>
      </c>
      <c r="D15" s="9">
        <v>5259</v>
      </c>
      <c r="E15" s="9">
        <v>374</v>
      </c>
      <c r="F15" s="9">
        <v>189735</v>
      </c>
      <c r="G15" s="10">
        <v>0.14827522597306769</v>
      </c>
      <c r="H15" s="11">
        <v>19596</v>
      </c>
      <c r="I15" s="12">
        <f t="shared" si="0"/>
        <v>4885</v>
      </c>
      <c r="J15" s="10">
        <f t="shared" si="1"/>
        <v>2.5746435818378266E-2</v>
      </c>
      <c r="K15" s="12">
        <f t="shared" si="3"/>
        <v>7020</v>
      </c>
    </row>
    <row r="16" spans="1:19" x14ac:dyDescent="0.3">
      <c r="A16" s="7">
        <v>45467</v>
      </c>
      <c r="B16" s="7" t="str">
        <f t="shared" si="2"/>
        <v>Week 26</v>
      </c>
      <c r="C16" s="8" t="s">
        <v>11</v>
      </c>
      <c r="D16" s="9">
        <v>9286</v>
      </c>
      <c r="E16" s="9">
        <v>633</v>
      </c>
      <c r="F16" s="9">
        <v>198388</v>
      </c>
      <c r="G16" s="10">
        <v>5.4343004617214759E-2</v>
      </c>
      <c r="H16" s="11">
        <v>48019</v>
      </c>
      <c r="I16" s="12">
        <f t="shared" si="0"/>
        <v>8653</v>
      </c>
      <c r="J16" s="10">
        <f t="shared" si="1"/>
        <v>4.3616549388067825E-2</v>
      </c>
      <c r="K16" s="12">
        <f t="shared" si="3"/>
        <v>6405.666666666667</v>
      </c>
    </row>
    <row r="17" spans="1:11" x14ac:dyDescent="0.3">
      <c r="A17" s="7">
        <v>45467</v>
      </c>
      <c r="B17" s="7" t="str">
        <f t="shared" si="2"/>
        <v>Week 26</v>
      </c>
      <c r="C17" s="8" t="s">
        <v>10</v>
      </c>
      <c r="D17" s="9">
        <v>6901</v>
      </c>
      <c r="E17" s="9">
        <v>471</v>
      </c>
      <c r="F17" s="9">
        <v>204818</v>
      </c>
      <c r="G17" s="10">
        <v>0.60827661631301944</v>
      </c>
      <c r="H17" s="11">
        <v>52003</v>
      </c>
      <c r="I17" s="12">
        <f t="shared" si="0"/>
        <v>6430</v>
      </c>
      <c r="J17" s="10">
        <f t="shared" si="1"/>
        <v>3.1393725160874533E-2</v>
      </c>
      <c r="K17" s="12">
        <f t="shared" si="3"/>
        <v>7397.333333333333</v>
      </c>
    </row>
    <row r="18" spans="1:11" x14ac:dyDescent="0.3">
      <c r="A18" s="7">
        <v>45474</v>
      </c>
      <c r="B18" s="7" t="str">
        <f t="shared" si="2"/>
        <v>Week 27</v>
      </c>
      <c r="C18" s="8" t="s">
        <v>12</v>
      </c>
      <c r="D18" s="9">
        <v>5917</v>
      </c>
      <c r="E18" s="9">
        <v>475</v>
      </c>
      <c r="F18" s="9">
        <v>210260</v>
      </c>
      <c r="G18" s="10">
        <v>0.17894035955483692</v>
      </c>
      <c r="H18" s="11">
        <v>28313</v>
      </c>
      <c r="I18" s="12">
        <f t="shared" si="0"/>
        <v>5442</v>
      </c>
      <c r="J18" s="10">
        <f t="shared" si="1"/>
        <v>2.5882241034909159E-2</v>
      </c>
      <c r="K18" s="12">
        <f t="shared" si="3"/>
        <v>6656</v>
      </c>
    </row>
    <row r="19" spans="1:11" x14ac:dyDescent="0.3">
      <c r="A19" s="7">
        <v>45474</v>
      </c>
      <c r="B19" s="7" t="str">
        <f t="shared" si="2"/>
        <v>Week 27</v>
      </c>
      <c r="C19" s="8" t="s">
        <v>10</v>
      </c>
      <c r="D19" s="9">
        <v>9429</v>
      </c>
      <c r="E19" s="9">
        <v>966</v>
      </c>
      <c r="F19" s="9">
        <v>218723</v>
      </c>
      <c r="G19" s="10">
        <v>7.6914636320825888E-2</v>
      </c>
      <c r="H19" s="11">
        <v>57639</v>
      </c>
      <c r="I19" s="12">
        <f t="shared" si="0"/>
        <v>8463</v>
      </c>
      <c r="J19" s="10">
        <f t="shared" si="1"/>
        <v>3.8692775794040866E-2</v>
      </c>
      <c r="K19" s="12">
        <f t="shared" si="3"/>
        <v>6841.666666666667</v>
      </c>
    </row>
    <row r="20" spans="1:11" x14ac:dyDescent="0.3">
      <c r="A20" s="7">
        <v>45474</v>
      </c>
      <c r="B20" s="7" t="str">
        <f t="shared" si="2"/>
        <v>Week 27</v>
      </c>
      <c r="C20" s="8" t="s">
        <v>9</v>
      </c>
      <c r="D20" s="9">
        <v>3530</v>
      </c>
      <c r="E20" s="9">
        <v>328</v>
      </c>
      <c r="F20" s="9">
        <v>221925</v>
      </c>
      <c r="G20" s="10">
        <v>0.12837219781457698</v>
      </c>
      <c r="H20" s="11">
        <v>11013</v>
      </c>
      <c r="I20" s="12">
        <f t="shared" si="0"/>
        <v>3202</v>
      </c>
      <c r="J20" s="10">
        <f t="shared" si="1"/>
        <v>1.4428297848372199E-2</v>
      </c>
      <c r="K20" s="12">
        <f t="shared" si="3"/>
        <v>6778.333333333333</v>
      </c>
    </row>
    <row r="21" spans="1:11" x14ac:dyDescent="0.3">
      <c r="A21" s="7">
        <v>45474</v>
      </c>
      <c r="B21" s="7" t="str">
        <f t="shared" si="2"/>
        <v>Week 27</v>
      </c>
      <c r="C21" s="8" t="s">
        <v>9</v>
      </c>
      <c r="D21" s="9">
        <v>2960</v>
      </c>
      <c r="E21" s="9">
        <v>234</v>
      </c>
      <c r="F21" s="9">
        <v>224651</v>
      </c>
      <c r="G21" s="10">
        <v>0.17412786945083711</v>
      </c>
      <c r="H21" s="11">
        <v>59378</v>
      </c>
      <c r="I21" s="12">
        <f t="shared" si="0"/>
        <v>2726</v>
      </c>
      <c r="J21" s="10">
        <f t="shared" si="1"/>
        <v>1.213437732304775E-2</v>
      </c>
      <c r="K21" s="12">
        <f t="shared" si="3"/>
        <v>5702.333333333333</v>
      </c>
    </row>
    <row r="22" spans="1:11" x14ac:dyDescent="0.3">
      <c r="A22" s="7">
        <v>45481</v>
      </c>
      <c r="B22" s="7" t="str">
        <f t="shared" si="2"/>
        <v>Week 28</v>
      </c>
      <c r="C22" s="8" t="s">
        <v>10</v>
      </c>
      <c r="D22" s="9">
        <v>8045</v>
      </c>
      <c r="E22" s="9">
        <v>894</v>
      </c>
      <c r="F22" s="9">
        <v>231802</v>
      </c>
      <c r="G22" s="10">
        <v>0.47634187798207089</v>
      </c>
      <c r="H22" s="11">
        <v>33705</v>
      </c>
      <c r="I22" s="12">
        <f t="shared" si="0"/>
        <v>7151</v>
      </c>
      <c r="J22" s="10">
        <f t="shared" si="1"/>
        <v>3.084960440375838E-2</v>
      </c>
      <c r="K22" s="12">
        <f t="shared" si="3"/>
        <v>4797</v>
      </c>
    </row>
    <row r="23" spans="1:11" x14ac:dyDescent="0.3">
      <c r="A23" s="7">
        <v>45481</v>
      </c>
      <c r="B23" s="7" t="str">
        <f t="shared" si="2"/>
        <v>Week 28</v>
      </c>
      <c r="C23" s="8" t="s">
        <v>12</v>
      </c>
      <c r="D23" s="9">
        <v>2048</v>
      </c>
      <c r="E23" s="9">
        <v>130</v>
      </c>
      <c r="F23" s="9">
        <v>233720</v>
      </c>
      <c r="G23" s="10">
        <v>0.39284614068115686</v>
      </c>
      <c r="H23" s="11">
        <v>11828</v>
      </c>
      <c r="I23" s="12">
        <f t="shared" si="0"/>
        <v>1918</v>
      </c>
      <c r="J23" s="10">
        <f t="shared" si="1"/>
        <v>8.2064008214958063E-3</v>
      </c>
      <c r="K23" s="12">
        <f t="shared" si="3"/>
        <v>4359.666666666667</v>
      </c>
    </row>
    <row r="24" spans="1:11" x14ac:dyDescent="0.3">
      <c r="A24" s="7">
        <v>45481</v>
      </c>
      <c r="B24" s="7" t="str">
        <f t="shared" si="2"/>
        <v>Week 28</v>
      </c>
      <c r="C24" s="8" t="s">
        <v>12</v>
      </c>
      <c r="D24" s="9">
        <v>6772</v>
      </c>
      <c r="E24" s="9">
        <v>536</v>
      </c>
      <c r="F24" s="9">
        <v>239956</v>
      </c>
      <c r="G24" s="10">
        <v>9.8205504342462793E-2</v>
      </c>
      <c r="H24" s="11">
        <v>17909</v>
      </c>
      <c r="I24" s="12">
        <f t="shared" si="0"/>
        <v>6236</v>
      </c>
      <c r="J24" s="10">
        <f t="shared" si="1"/>
        <v>2.5988097817933289E-2</v>
      </c>
      <c r="K24" s="12">
        <f t="shared" si="3"/>
        <v>3931.6666666666665</v>
      </c>
    </row>
    <row r="25" spans="1:11" x14ac:dyDescent="0.3">
      <c r="A25" s="7">
        <v>45481</v>
      </c>
      <c r="B25" s="7" t="str">
        <f t="shared" si="2"/>
        <v>Week 28</v>
      </c>
      <c r="C25" s="8" t="s">
        <v>12</v>
      </c>
      <c r="D25" s="9">
        <v>3529</v>
      </c>
      <c r="E25" s="9">
        <v>305</v>
      </c>
      <c r="F25" s="9">
        <v>243180</v>
      </c>
      <c r="G25" s="10">
        <v>0.41606628834608111</v>
      </c>
      <c r="H25" s="11">
        <v>48356</v>
      </c>
      <c r="I25" s="12">
        <f t="shared" si="0"/>
        <v>3224</v>
      </c>
      <c r="J25" s="10">
        <f t="shared" si="1"/>
        <v>1.3257669216218439E-2</v>
      </c>
      <c r="K25" s="12">
        <f t="shared" si="3"/>
        <v>5101.666666666667</v>
      </c>
    </row>
    <row r="26" spans="1:11" x14ac:dyDescent="0.3">
      <c r="A26" s="7">
        <v>45488</v>
      </c>
      <c r="B26" s="7" t="str">
        <f t="shared" si="2"/>
        <v>Week 29</v>
      </c>
      <c r="C26" s="8" t="s">
        <v>9</v>
      </c>
      <c r="D26" s="9">
        <v>3964</v>
      </c>
      <c r="E26" s="9">
        <v>378</v>
      </c>
      <c r="F26" s="9">
        <v>246766</v>
      </c>
      <c r="G26" s="10">
        <v>0.136355899921383</v>
      </c>
      <c r="H26" s="11">
        <v>23109</v>
      </c>
      <c r="I26" s="12">
        <f t="shared" si="0"/>
        <v>3586</v>
      </c>
      <c r="J26" s="10">
        <f t="shared" si="1"/>
        <v>1.453198576789347E-2</v>
      </c>
      <c r="K26" s="12">
        <f t="shared" si="3"/>
        <v>3792.6666666666665</v>
      </c>
    </row>
    <row r="27" spans="1:11" x14ac:dyDescent="0.3">
      <c r="A27" s="7">
        <v>45488</v>
      </c>
      <c r="B27" s="7" t="str">
        <f t="shared" si="2"/>
        <v>Week 29</v>
      </c>
      <c r="C27" s="8" t="s">
        <v>10</v>
      </c>
      <c r="D27" s="9">
        <v>8137</v>
      </c>
      <c r="E27" s="9">
        <v>1045</v>
      </c>
      <c r="F27" s="9">
        <v>253858</v>
      </c>
      <c r="G27" s="10">
        <v>0.2047246886054408</v>
      </c>
      <c r="H27" s="11">
        <v>12023</v>
      </c>
      <c r="I27" s="12">
        <f t="shared" si="0"/>
        <v>7092</v>
      </c>
      <c r="J27" s="10">
        <f t="shared" si="1"/>
        <v>2.7936878097203948E-2</v>
      </c>
      <c r="K27" s="12">
        <f t="shared" si="3"/>
        <v>4348.666666666667</v>
      </c>
    </row>
    <row r="28" spans="1:11" x14ac:dyDescent="0.3">
      <c r="A28" s="7">
        <v>45488</v>
      </c>
      <c r="B28" s="7" t="str">
        <f t="shared" si="2"/>
        <v>Week 29</v>
      </c>
      <c r="C28" s="8" t="s">
        <v>11</v>
      </c>
      <c r="D28" s="9">
        <v>1963</v>
      </c>
      <c r="E28" s="9">
        <v>137</v>
      </c>
      <c r="F28" s="9">
        <v>255684</v>
      </c>
      <c r="G28" s="10">
        <v>0.112083665774941</v>
      </c>
      <c r="H28" s="11">
        <v>24537</v>
      </c>
      <c r="I28" s="12">
        <f t="shared" si="0"/>
        <v>1826</v>
      </c>
      <c r="J28" s="10">
        <f t="shared" si="1"/>
        <v>7.1416279469970747E-3</v>
      </c>
      <c r="K28" s="12">
        <f t="shared" si="3"/>
        <v>4634</v>
      </c>
    </row>
    <row r="29" spans="1:11" x14ac:dyDescent="0.3">
      <c r="A29" s="7">
        <v>45488</v>
      </c>
      <c r="B29" s="7" t="str">
        <f t="shared" si="2"/>
        <v>Week 29</v>
      </c>
      <c r="C29" s="8" t="s">
        <v>9</v>
      </c>
      <c r="D29" s="9">
        <v>1536</v>
      </c>
      <c r="E29" s="9">
        <v>155</v>
      </c>
      <c r="F29" s="9">
        <v>257065</v>
      </c>
      <c r="G29" s="10">
        <v>0.12157625503277381</v>
      </c>
      <c r="H29" s="11">
        <v>36661</v>
      </c>
      <c r="I29" s="12">
        <f t="shared" si="0"/>
        <v>1381</v>
      </c>
      <c r="J29" s="10">
        <f t="shared" si="1"/>
        <v>5.3721821329235798E-3</v>
      </c>
      <c r="K29" s="12">
        <f t="shared" si="3"/>
        <v>4168</v>
      </c>
    </row>
    <row r="30" spans="1:11" x14ac:dyDescent="0.3">
      <c r="A30" s="7">
        <v>45495</v>
      </c>
      <c r="B30" s="7" t="str">
        <f t="shared" si="2"/>
        <v>Week 30</v>
      </c>
      <c r="C30" s="8" t="s">
        <v>12</v>
      </c>
      <c r="D30" s="9">
        <v>8340</v>
      </c>
      <c r="E30" s="9">
        <v>911</v>
      </c>
      <c r="F30" s="9">
        <v>264494</v>
      </c>
      <c r="G30" s="10">
        <v>0.37302925586213681</v>
      </c>
      <c r="H30" s="11">
        <v>48659</v>
      </c>
      <c r="I30" s="12">
        <f t="shared" si="0"/>
        <v>7429</v>
      </c>
      <c r="J30" s="10">
        <f t="shared" si="1"/>
        <v>2.8087593669421613E-2</v>
      </c>
      <c r="K30" s="12">
        <f t="shared" si="3"/>
        <v>3433</v>
      </c>
    </row>
    <row r="31" spans="1:11" x14ac:dyDescent="0.3">
      <c r="A31" s="7">
        <v>45495</v>
      </c>
      <c r="B31" s="7" t="str">
        <f t="shared" si="2"/>
        <v>Week 30</v>
      </c>
      <c r="C31" s="8" t="s">
        <v>10</v>
      </c>
      <c r="D31" s="9">
        <v>8179</v>
      </c>
      <c r="E31" s="9">
        <v>446</v>
      </c>
      <c r="F31" s="9">
        <v>272227</v>
      </c>
      <c r="G31" s="10">
        <v>0.41821714965818968</v>
      </c>
      <c r="H31" s="11">
        <v>43848</v>
      </c>
      <c r="I31" s="12">
        <f t="shared" si="0"/>
        <v>7733</v>
      </c>
      <c r="J31" s="10">
        <f t="shared" si="1"/>
        <v>2.8406440213498294E-2</v>
      </c>
      <c r="K31" s="12">
        <f t="shared" si="3"/>
        <v>3545.3333333333335</v>
      </c>
    </row>
    <row r="32" spans="1:11" x14ac:dyDescent="0.3">
      <c r="A32" s="7">
        <v>45495</v>
      </c>
      <c r="B32" s="7" t="str">
        <f t="shared" si="2"/>
        <v>Week 30</v>
      </c>
      <c r="C32" s="8" t="s">
        <v>12</v>
      </c>
      <c r="D32" s="9">
        <v>8967</v>
      </c>
      <c r="E32" s="9">
        <v>993</v>
      </c>
      <c r="F32" s="9">
        <v>280201</v>
      </c>
      <c r="G32" s="10">
        <v>0.52792102811910024</v>
      </c>
      <c r="H32" s="11">
        <v>47804</v>
      </c>
      <c r="I32" s="12">
        <f t="shared" si="0"/>
        <v>7974</v>
      </c>
      <c r="J32" s="10">
        <f t="shared" si="1"/>
        <v>2.8458142547671136E-2</v>
      </c>
      <c r="K32" s="12">
        <f t="shared" si="3"/>
        <v>5514.333333333333</v>
      </c>
    </row>
    <row r="33" spans="1:11" x14ac:dyDescent="0.3">
      <c r="A33" s="7">
        <v>45495</v>
      </c>
      <c r="B33" s="7" t="str">
        <f t="shared" si="2"/>
        <v>Week 30</v>
      </c>
      <c r="C33" s="8" t="s">
        <v>11</v>
      </c>
      <c r="D33" s="9">
        <v>9734</v>
      </c>
      <c r="E33" s="9">
        <v>652</v>
      </c>
      <c r="F33" s="9">
        <v>289283</v>
      </c>
      <c r="G33" s="10">
        <v>0.49647922622483859</v>
      </c>
      <c r="H33" s="11">
        <v>25379</v>
      </c>
      <c r="I33" s="12">
        <f t="shared" si="0"/>
        <v>9082</v>
      </c>
      <c r="J33" s="10">
        <f t="shared" si="1"/>
        <v>3.1394862470314533E-2</v>
      </c>
      <c r="K33" s="12">
        <f t="shared" si="3"/>
        <v>7712</v>
      </c>
    </row>
    <row r="34" spans="1:11" x14ac:dyDescent="0.3">
      <c r="A34" s="7">
        <v>45502</v>
      </c>
      <c r="B34" s="7" t="str">
        <f t="shared" si="2"/>
        <v>Week 31</v>
      </c>
      <c r="C34" s="8" t="s">
        <v>12</v>
      </c>
      <c r="D34" s="9">
        <v>1845</v>
      </c>
      <c r="E34" s="9">
        <v>104</v>
      </c>
      <c r="F34" s="9">
        <v>291024</v>
      </c>
      <c r="G34" s="10">
        <v>0.28158158777282971</v>
      </c>
      <c r="H34" s="11">
        <v>37766</v>
      </c>
      <c r="I34" s="12">
        <f t="shared" ref="I34:I65" si="4">D34-E34</f>
        <v>1741</v>
      </c>
      <c r="J34" s="10">
        <f t="shared" ref="J34:J65" si="5">I34/F34</f>
        <v>5.9823244818296775E-3</v>
      </c>
      <c r="K34" s="12">
        <f t="shared" si="3"/>
        <v>8263</v>
      </c>
    </row>
    <row r="35" spans="1:11" x14ac:dyDescent="0.3">
      <c r="A35" s="7">
        <v>45502</v>
      </c>
      <c r="B35" s="7" t="str">
        <f t="shared" si="2"/>
        <v>Week 31</v>
      </c>
      <c r="C35" s="8" t="s">
        <v>12</v>
      </c>
      <c r="D35" s="9">
        <v>6777</v>
      </c>
      <c r="E35" s="9">
        <v>981</v>
      </c>
      <c r="F35" s="9">
        <v>296820</v>
      </c>
      <c r="G35" s="10">
        <v>0.239205579138872</v>
      </c>
      <c r="H35" s="11">
        <v>53590</v>
      </c>
      <c r="I35" s="12">
        <f t="shared" si="4"/>
        <v>5796</v>
      </c>
      <c r="J35" s="10">
        <f t="shared" si="5"/>
        <v>1.952698605215282E-2</v>
      </c>
      <c r="K35" s="12">
        <f t="shared" si="3"/>
        <v>6265.666666666667</v>
      </c>
    </row>
    <row r="36" spans="1:11" x14ac:dyDescent="0.3">
      <c r="A36" s="7">
        <v>45502</v>
      </c>
      <c r="B36" s="7" t="str">
        <f t="shared" si="2"/>
        <v>Week 31</v>
      </c>
      <c r="C36" s="8" t="s">
        <v>11</v>
      </c>
      <c r="D36" s="9">
        <v>4036</v>
      </c>
      <c r="E36" s="9">
        <v>591</v>
      </c>
      <c r="F36" s="9">
        <v>300265</v>
      </c>
      <c r="G36" s="10">
        <v>0.44219272975538265</v>
      </c>
      <c r="H36" s="11">
        <v>12563</v>
      </c>
      <c r="I36" s="12">
        <f t="shared" si="4"/>
        <v>3445</v>
      </c>
      <c r="J36" s="10">
        <f t="shared" si="5"/>
        <v>1.1473198674504187E-2</v>
      </c>
      <c r="K36" s="12">
        <f t="shared" si="3"/>
        <v>5539.666666666667</v>
      </c>
    </row>
    <row r="37" spans="1:11" x14ac:dyDescent="0.3">
      <c r="A37" s="7">
        <v>45502</v>
      </c>
      <c r="B37" s="7" t="str">
        <f t="shared" si="2"/>
        <v>Week 31</v>
      </c>
      <c r="C37" s="8" t="s">
        <v>10</v>
      </c>
      <c r="D37" s="9">
        <v>6947</v>
      </c>
      <c r="E37" s="9">
        <v>908</v>
      </c>
      <c r="F37" s="9">
        <v>306304</v>
      </c>
      <c r="G37" s="10">
        <v>0.14117673944839121</v>
      </c>
      <c r="H37" s="11">
        <v>46060</v>
      </c>
      <c r="I37" s="12">
        <f t="shared" si="4"/>
        <v>6039</v>
      </c>
      <c r="J37" s="10">
        <f t="shared" si="5"/>
        <v>1.9715707271207691E-2</v>
      </c>
      <c r="K37" s="12">
        <f t="shared" si="3"/>
        <v>3660.6666666666665</v>
      </c>
    </row>
    <row r="38" spans="1:11" x14ac:dyDescent="0.3">
      <c r="A38" s="7">
        <v>45509</v>
      </c>
      <c r="B38" s="7" t="str">
        <f t="shared" si="2"/>
        <v>Week 32</v>
      </c>
      <c r="C38" s="8" t="s">
        <v>9</v>
      </c>
      <c r="D38" s="9">
        <v>3494</v>
      </c>
      <c r="E38" s="9">
        <v>281</v>
      </c>
      <c r="F38" s="9">
        <v>309517</v>
      </c>
      <c r="G38" s="10">
        <v>0.27765518533715428</v>
      </c>
      <c r="H38" s="11">
        <v>39197</v>
      </c>
      <c r="I38" s="12">
        <f t="shared" si="4"/>
        <v>3213</v>
      </c>
      <c r="J38" s="10">
        <f t="shared" si="5"/>
        <v>1.0380689913639638E-2</v>
      </c>
      <c r="K38" s="12">
        <f t="shared" si="3"/>
        <v>5093.333333333333</v>
      </c>
    </row>
    <row r="39" spans="1:11" x14ac:dyDescent="0.3">
      <c r="A39" s="7">
        <v>45509</v>
      </c>
      <c r="B39" s="7" t="str">
        <f t="shared" si="2"/>
        <v>Week 32</v>
      </c>
      <c r="C39" s="8" t="s">
        <v>10</v>
      </c>
      <c r="D39" s="9">
        <v>3719</v>
      </c>
      <c r="E39" s="9">
        <v>222</v>
      </c>
      <c r="F39" s="9">
        <v>313014</v>
      </c>
      <c r="G39" s="10">
        <v>0.2166931830525152</v>
      </c>
      <c r="H39" s="11">
        <v>13586</v>
      </c>
      <c r="I39" s="12">
        <f t="shared" si="4"/>
        <v>3497</v>
      </c>
      <c r="J39" s="10">
        <f t="shared" si="5"/>
        <v>1.1172024254506188E-2</v>
      </c>
      <c r="K39" s="12">
        <f t="shared" si="3"/>
        <v>4232.333333333333</v>
      </c>
    </row>
    <row r="40" spans="1:11" x14ac:dyDescent="0.3">
      <c r="A40" s="7">
        <v>45509</v>
      </c>
      <c r="B40" s="7" t="str">
        <f t="shared" si="2"/>
        <v>Week 32</v>
      </c>
      <c r="C40" s="8" t="s">
        <v>11</v>
      </c>
      <c r="D40" s="9">
        <v>2884</v>
      </c>
      <c r="E40" s="9">
        <v>341</v>
      </c>
      <c r="F40" s="9">
        <v>315557</v>
      </c>
      <c r="G40" s="10">
        <v>0.46999749649033296</v>
      </c>
      <c r="H40" s="11">
        <v>26087</v>
      </c>
      <c r="I40" s="12">
        <f t="shared" si="4"/>
        <v>2543</v>
      </c>
      <c r="J40" s="10">
        <f t="shared" si="5"/>
        <v>8.058765928184131E-3</v>
      </c>
      <c r="K40" s="12">
        <f t="shared" si="3"/>
        <v>4249.666666666667</v>
      </c>
    </row>
    <row r="41" spans="1:11" x14ac:dyDescent="0.3">
      <c r="A41" s="7">
        <v>45509</v>
      </c>
      <c r="B41" s="7" t="str">
        <f t="shared" si="2"/>
        <v>Week 32</v>
      </c>
      <c r="C41" s="8" t="s">
        <v>12</v>
      </c>
      <c r="D41" s="9">
        <v>5349</v>
      </c>
      <c r="E41" s="9">
        <v>502</v>
      </c>
      <c r="F41" s="9">
        <v>320404</v>
      </c>
      <c r="G41" s="10">
        <v>5.2152906954969352E-2</v>
      </c>
      <c r="H41" s="11">
        <v>58868</v>
      </c>
      <c r="I41" s="12">
        <f t="shared" si="4"/>
        <v>4847</v>
      </c>
      <c r="J41" s="10">
        <f t="shared" si="5"/>
        <v>1.5127776182569505E-2</v>
      </c>
      <c r="K41" s="12">
        <f t="shared" si="3"/>
        <v>3084.3333333333335</v>
      </c>
    </row>
    <row r="42" spans="1:11" x14ac:dyDescent="0.3">
      <c r="A42" s="7">
        <v>45516</v>
      </c>
      <c r="B42" s="7" t="str">
        <f t="shared" si="2"/>
        <v>Week 33</v>
      </c>
      <c r="C42" s="8" t="s">
        <v>10</v>
      </c>
      <c r="D42" s="9">
        <v>6179</v>
      </c>
      <c r="E42" s="9">
        <v>384</v>
      </c>
      <c r="F42" s="9">
        <v>326199</v>
      </c>
      <c r="G42" s="10">
        <v>0.14712184893270672</v>
      </c>
      <c r="H42" s="11">
        <v>33225</v>
      </c>
      <c r="I42" s="12">
        <f t="shared" si="4"/>
        <v>5795</v>
      </c>
      <c r="J42" s="10">
        <f t="shared" si="5"/>
        <v>1.7765229200580015E-2</v>
      </c>
      <c r="K42" s="12">
        <f t="shared" si="3"/>
        <v>3629</v>
      </c>
    </row>
    <row r="43" spans="1:11" x14ac:dyDescent="0.3">
      <c r="A43" s="7">
        <v>45516</v>
      </c>
      <c r="B43" s="7" t="str">
        <f t="shared" si="2"/>
        <v>Week 33</v>
      </c>
      <c r="C43" s="8" t="s">
        <v>9</v>
      </c>
      <c r="D43" s="9">
        <v>7610</v>
      </c>
      <c r="E43" s="9">
        <v>757</v>
      </c>
      <c r="F43" s="9">
        <v>333052</v>
      </c>
      <c r="G43" s="10">
        <v>0.44450416151231642</v>
      </c>
      <c r="H43" s="11">
        <v>39750</v>
      </c>
      <c r="I43" s="12">
        <f t="shared" si="4"/>
        <v>6853</v>
      </c>
      <c r="J43" s="10">
        <f t="shared" si="5"/>
        <v>2.0576366453286574E-2</v>
      </c>
      <c r="K43" s="12">
        <f t="shared" si="3"/>
        <v>4395</v>
      </c>
    </row>
    <row r="44" spans="1:11" x14ac:dyDescent="0.3">
      <c r="A44" s="7">
        <v>45516</v>
      </c>
      <c r="B44" s="7" t="str">
        <f t="shared" si="2"/>
        <v>Week 33</v>
      </c>
      <c r="C44" s="8" t="s">
        <v>11</v>
      </c>
      <c r="D44" s="9">
        <v>7430</v>
      </c>
      <c r="E44" s="9">
        <v>397</v>
      </c>
      <c r="F44" s="9">
        <v>340085</v>
      </c>
      <c r="G44" s="10">
        <v>0.28065042562888687</v>
      </c>
      <c r="H44" s="11">
        <v>16643</v>
      </c>
      <c r="I44" s="12">
        <f t="shared" si="4"/>
        <v>7033</v>
      </c>
      <c r="J44" s="10">
        <f t="shared" si="5"/>
        <v>2.0680124086625402E-2</v>
      </c>
      <c r="K44" s="12">
        <f t="shared" si="3"/>
        <v>5831.666666666667</v>
      </c>
    </row>
    <row r="45" spans="1:11" x14ac:dyDescent="0.3">
      <c r="A45" s="7">
        <v>45516</v>
      </c>
      <c r="B45" s="7" t="str">
        <f t="shared" si="2"/>
        <v>Week 33</v>
      </c>
      <c r="C45" s="8" t="s">
        <v>10</v>
      </c>
      <c r="D45" s="9">
        <v>8154</v>
      </c>
      <c r="E45" s="9">
        <v>1149</v>
      </c>
      <c r="F45" s="9">
        <v>347090</v>
      </c>
      <c r="G45" s="10">
        <v>0.26003918292085632</v>
      </c>
      <c r="H45" s="11">
        <v>37523</v>
      </c>
      <c r="I45" s="12">
        <f t="shared" si="4"/>
        <v>7005</v>
      </c>
      <c r="J45" s="10">
        <f t="shared" si="5"/>
        <v>2.0182085338096747E-2</v>
      </c>
      <c r="K45" s="12">
        <f t="shared" si="3"/>
        <v>6560.333333333333</v>
      </c>
    </row>
    <row r="46" spans="1:11" x14ac:dyDescent="0.3">
      <c r="A46" s="7">
        <v>45523</v>
      </c>
      <c r="B46" s="7" t="str">
        <f t="shared" si="2"/>
        <v>Week 34</v>
      </c>
      <c r="C46" s="8" t="s">
        <v>9</v>
      </c>
      <c r="D46" s="9">
        <v>7488</v>
      </c>
      <c r="E46" s="9">
        <v>568</v>
      </c>
      <c r="F46" s="9">
        <v>354010</v>
      </c>
      <c r="G46" s="10">
        <v>0.13477302901047991</v>
      </c>
      <c r="H46" s="11">
        <v>46727</v>
      </c>
      <c r="I46" s="12">
        <f t="shared" si="4"/>
        <v>6920</v>
      </c>
      <c r="J46" s="10">
        <f t="shared" si="5"/>
        <v>1.9547470410440384E-2</v>
      </c>
      <c r="K46" s="12">
        <f t="shared" si="3"/>
        <v>6963.666666666667</v>
      </c>
    </row>
    <row r="47" spans="1:11" x14ac:dyDescent="0.3">
      <c r="A47" s="7">
        <v>45523</v>
      </c>
      <c r="B47" s="7" t="str">
        <f t="shared" si="2"/>
        <v>Week 34</v>
      </c>
      <c r="C47" s="8" t="s">
        <v>11</v>
      </c>
      <c r="D47" s="9">
        <v>5737</v>
      </c>
      <c r="E47" s="9">
        <v>666</v>
      </c>
      <c r="F47" s="9">
        <v>359081</v>
      </c>
      <c r="G47" s="10">
        <v>4.6034181702735592E-2</v>
      </c>
      <c r="H47" s="11">
        <v>21005</v>
      </c>
      <c r="I47" s="12">
        <f t="shared" si="4"/>
        <v>5071</v>
      </c>
      <c r="J47" s="10">
        <f t="shared" si="5"/>
        <v>1.4122161852061233E-2</v>
      </c>
      <c r="K47" s="12">
        <f t="shared" si="3"/>
        <v>6986</v>
      </c>
    </row>
    <row r="48" spans="1:11" x14ac:dyDescent="0.3">
      <c r="A48" s="7">
        <v>45523</v>
      </c>
      <c r="B48" s="7" t="str">
        <f t="shared" si="2"/>
        <v>Week 34</v>
      </c>
      <c r="C48" s="8" t="s">
        <v>9</v>
      </c>
      <c r="D48" s="9">
        <v>7525</v>
      </c>
      <c r="E48" s="9">
        <v>610</v>
      </c>
      <c r="F48" s="9">
        <v>365996</v>
      </c>
      <c r="G48" s="10">
        <v>5.7694619613329105E-2</v>
      </c>
      <c r="H48" s="11">
        <v>53543</v>
      </c>
      <c r="I48" s="12">
        <f t="shared" si="4"/>
        <v>6915</v>
      </c>
      <c r="J48" s="10">
        <f t="shared" si="5"/>
        <v>1.8893649110919244E-2</v>
      </c>
      <c r="K48" s="12">
        <f t="shared" si="3"/>
        <v>6332</v>
      </c>
    </row>
    <row r="49" spans="1:11" x14ac:dyDescent="0.3">
      <c r="A49" s="7">
        <v>45523</v>
      </c>
      <c r="B49" s="7" t="str">
        <f t="shared" si="2"/>
        <v>Week 34</v>
      </c>
      <c r="C49" s="8" t="s">
        <v>11</v>
      </c>
      <c r="D49" s="9">
        <v>4850</v>
      </c>
      <c r="E49" s="9">
        <v>494</v>
      </c>
      <c r="F49" s="9">
        <v>370352</v>
      </c>
      <c r="G49" s="10">
        <v>0.2046539508359615</v>
      </c>
      <c r="H49" s="11">
        <v>10161</v>
      </c>
      <c r="I49" s="12">
        <f t="shared" si="4"/>
        <v>4356</v>
      </c>
      <c r="J49" s="10">
        <f t="shared" si="5"/>
        <v>1.176178338445587E-2</v>
      </c>
      <c r="K49" s="12">
        <f t="shared" si="3"/>
        <v>6302</v>
      </c>
    </row>
    <row r="50" spans="1:11" x14ac:dyDescent="0.3">
      <c r="A50" s="7">
        <v>45530</v>
      </c>
      <c r="B50" s="7" t="str">
        <f t="shared" si="2"/>
        <v>Week 35</v>
      </c>
      <c r="C50" s="8" t="s">
        <v>12</v>
      </c>
      <c r="D50" s="9">
        <v>1689</v>
      </c>
      <c r="E50" s="9">
        <v>176</v>
      </c>
      <c r="F50" s="9">
        <v>371865</v>
      </c>
      <c r="G50" s="10">
        <v>0.3801218184018394</v>
      </c>
      <c r="H50" s="11">
        <v>26029</v>
      </c>
      <c r="I50" s="12">
        <f t="shared" si="4"/>
        <v>1513</v>
      </c>
      <c r="J50" s="10">
        <f t="shared" si="5"/>
        <v>4.068680838476329E-3</v>
      </c>
      <c r="K50" s="12">
        <f t="shared" si="3"/>
        <v>5447.333333333333</v>
      </c>
    </row>
    <row r="51" spans="1:11" x14ac:dyDescent="0.3">
      <c r="A51" s="7">
        <v>45530</v>
      </c>
      <c r="B51" s="7" t="str">
        <f t="shared" si="2"/>
        <v>Week 35</v>
      </c>
      <c r="C51" s="8" t="s">
        <v>10</v>
      </c>
      <c r="D51" s="9">
        <v>6175</v>
      </c>
      <c r="E51" s="9">
        <v>422</v>
      </c>
      <c r="F51" s="9">
        <v>377618</v>
      </c>
      <c r="G51" s="10">
        <v>0.3786101298137271</v>
      </c>
      <c r="H51" s="11">
        <v>59745</v>
      </c>
      <c r="I51" s="12">
        <f t="shared" si="4"/>
        <v>5753</v>
      </c>
      <c r="J51" s="10">
        <f t="shared" si="5"/>
        <v>1.523497290913039E-2</v>
      </c>
      <c r="K51" s="12">
        <f t="shared" si="3"/>
        <v>4261.333333333333</v>
      </c>
    </row>
    <row r="52" spans="1:11" x14ac:dyDescent="0.3">
      <c r="A52" s="7">
        <v>45530</v>
      </c>
      <c r="B52" s="7" t="str">
        <f t="shared" si="2"/>
        <v>Week 35</v>
      </c>
      <c r="C52" s="8" t="s">
        <v>9</v>
      </c>
      <c r="D52" s="9">
        <v>9648</v>
      </c>
      <c r="E52" s="9">
        <v>1417</v>
      </c>
      <c r="F52" s="9">
        <v>385849</v>
      </c>
      <c r="G52" s="10">
        <v>3.6633501706626166E-2</v>
      </c>
      <c r="H52" s="11">
        <v>24226</v>
      </c>
      <c r="I52" s="12">
        <f t="shared" si="4"/>
        <v>8231</v>
      </c>
      <c r="J52" s="10">
        <f t="shared" si="5"/>
        <v>2.1332179168534842E-2</v>
      </c>
      <c r="K52" s="12">
        <f t="shared" si="3"/>
        <v>3874</v>
      </c>
    </row>
    <row r="53" spans="1:11" x14ac:dyDescent="0.3">
      <c r="A53" s="7">
        <v>45530</v>
      </c>
      <c r="B53" s="7" t="str">
        <f t="shared" si="2"/>
        <v>Week 35</v>
      </c>
      <c r="C53" s="8" t="s">
        <v>11</v>
      </c>
      <c r="D53" s="9">
        <v>6078</v>
      </c>
      <c r="E53" s="9">
        <v>775</v>
      </c>
      <c r="F53" s="9">
        <v>391152</v>
      </c>
      <c r="G53" s="10">
        <v>0.37760512537325641</v>
      </c>
      <c r="H53" s="11">
        <v>38731</v>
      </c>
      <c r="I53" s="12">
        <f t="shared" si="4"/>
        <v>5303</v>
      </c>
      <c r="J53" s="10">
        <f t="shared" si="5"/>
        <v>1.3557389454738823E-2</v>
      </c>
      <c r="K53" s="12">
        <f t="shared" si="3"/>
        <v>5165.666666666667</v>
      </c>
    </row>
    <row r="54" spans="1:11" x14ac:dyDescent="0.3">
      <c r="A54" s="7">
        <v>45537</v>
      </c>
      <c r="B54" s="7" t="str">
        <f t="shared" si="2"/>
        <v>Week 36</v>
      </c>
      <c r="C54" s="8" t="s">
        <v>9</v>
      </c>
      <c r="D54" s="9">
        <v>6448</v>
      </c>
      <c r="E54" s="9">
        <v>928</v>
      </c>
      <c r="F54" s="9">
        <v>396672</v>
      </c>
      <c r="G54" s="10">
        <v>0.3011858664085188</v>
      </c>
      <c r="H54" s="11">
        <v>53922</v>
      </c>
      <c r="I54" s="12">
        <f t="shared" si="4"/>
        <v>5520</v>
      </c>
      <c r="J54" s="10">
        <f t="shared" si="5"/>
        <v>1.3915779283639884E-2</v>
      </c>
      <c r="K54" s="12">
        <f t="shared" si="3"/>
        <v>6429</v>
      </c>
    </row>
    <row r="55" spans="1:11" x14ac:dyDescent="0.3">
      <c r="A55" s="7">
        <v>45537</v>
      </c>
      <c r="B55" s="7" t="str">
        <f t="shared" si="2"/>
        <v>Week 36</v>
      </c>
      <c r="C55" s="8" t="s">
        <v>9</v>
      </c>
      <c r="D55" s="9">
        <v>2179</v>
      </c>
      <c r="E55" s="9">
        <v>303</v>
      </c>
      <c r="F55" s="9">
        <v>398548</v>
      </c>
      <c r="G55" s="10">
        <v>0.3390984272910666</v>
      </c>
      <c r="H55" s="11">
        <v>54848</v>
      </c>
      <c r="I55" s="12">
        <f t="shared" si="4"/>
        <v>1876</v>
      </c>
      <c r="J55" s="10">
        <f t="shared" si="5"/>
        <v>4.7070867248110645E-3</v>
      </c>
      <c r="K55" s="12">
        <f t="shared" si="3"/>
        <v>6351.333333333333</v>
      </c>
    </row>
    <row r="56" spans="1:11" x14ac:dyDescent="0.3">
      <c r="A56" s="7">
        <v>45537</v>
      </c>
      <c r="B56" s="7" t="str">
        <f t="shared" si="2"/>
        <v>Week 36</v>
      </c>
      <c r="C56" s="8" t="s">
        <v>10</v>
      </c>
      <c r="D56" s="9">
        <v>7406</v>
      </c>
      <c r="E56" s="9">
        <v>813</v>
      </c>
      <c r="F56" s="9">
        <v>405141</v>
      </c>
      <c r="G56" s="10">
        <v>0.2445741112353477</v>
      </c>
      <c r="H56" s="11">
        <v>13390</v>
      </c>
      <c r="I56" s="12">
        <f t="shared" si="4"/>
        <v>6593</v>
      </c>
      <c r="J56" s="10">
        <f t="shared" si="5"/>
        <v>1.6273346810122897E-2</v>
      </c>
      <c r="K56" s="12">
        <f t="shared" si="3"/>
        <v>4233</v>
      </c>
    </row>
    <row r="57" spans="1:11" x14ac:dyDescent="0.3">
      <c r="A57" s="7">
        <v>45537</v>
      </c>
      <c r="B57" s="7" t="str">
        <f t="shared" si="2"/>
        <v>Week 36</v>
      </c>
      <c r="C57" s="8" t="s">
        <v>12</v>
      </c>
      <c r="D57" s="9">
        <v>9591</v>
      </c>
      <c r="E57" s="9">
        <v>1363</v>
      </c>
      <c r="F57" s="9">
        <v>413369</v>
      </c>
      <c r="G57" s="10">
        <v>0.1049425573760974</v>
      </c>
      <c r="H57" s="11">
        <v>15997</v>
      </c>
      <c r="I57" s="12">
        <f t="shared" si="4"/>
        <v>8228</v>
      </c>
      <c r="J57" s="10">
        <f t="shared" si="5"/>
        <v>1.9904734026983156E-2</v>
      </c>
      <c r="K57" s="12">
        <f t="shared" si="3"/>
        <v>4663</v>
      </c>
    </row>
    <row r="58" spans="1:11" x14ac:dyDescent="0.3">
      <c r="A58" s="7">
        <v>45544</v>
      </c>
      <c r="B58" s="7" t="str">
        <f t="shared" si="2"/>
        <v>Week 37</v>
      </c>
      <c r="C58" s="8" t="s">
        <v>9</v>
      </c>
      <c r="D58" s="9">
        <v>7907</v>
      </c>
      <c r="E58" s="9">
        <v>465</v>
      </c>
      <c r="F58" s="9">
        <v>420811</v>
      </c>
      <c r="G58" s="10">
        <v>0.3325744811803874</v>
      </c>
      <c r="H58" s="11">
        <v>22693</v>
      </c>
      <c r="I58" s="12">
        <f t="shared" si="4"/>
        <v>7442</v>
      </c>
      <c r="J58" s="10">
        <f t="shared" si="5"/>
        <v>1.76848989213685E-2</v>
      </c>
      <c r="K58" s="12">
        <f t="shared" si="3"/>
        <v>5565.666666666667</v>
      </c>
    </row>
    <row r="59" spans="1:11" x14ac:dyDescent="0.3">
      <c r="A59" s="7">
        <v>45544</v>
      </c>
      <c r="B59" s="7" t="str">
        <f t="shared" si="2"/>
        <v>Week 37</v>
      </c>
      <c r="C59" s="8" t="s">
        <v>11</v>
      </c>
      <c r="D59" s="9">
        <v>9800</v>
      </c>
      <c r="E59" s="9">
        <v>682</v>
      </c>
      <c r="F59" s="9">
        <v>429929</v>
      </c>
      <c r="G59" s="10">
        <v>6.2966210699906267E-2</v>
      </c>
      <c r="H59" s="11">
        <v>59815</v>
      </c>
      <c r="I59" s="12">
        <f t="shared" si="4"/>
        <v>9118</v>
      </c>
      <c r="J59" s="10">
        <f t="shared" si="5"/>
        <v>2.1208152974095722E-2</v>
      </c>
      <c r="K59" s="12">
        <f t="shared" si="3"/>
        <v>7421</v>
      </c>
    </row>
    <row r="60" spans="1:11" x14ac:dyDescent="0.3">
      <c r="A60" s="7">
        <v>45544</v>
      </c>
      <c r="B60" s="7" t="str">
        <f t="shared" si="2"/>
        <v>Week 37</v>
      </c>
      <c r="C60" s="8" t="s">
        <v>11</v>
      </c>
      <c r="D60" s="9">
        <v>2638</v>
      </c>
      <c r="E60" s="9">
        <v>143</v>
      </c>
      <c r="F60" s="9">
        <v>432424</v>
      </c>
      <c r="G60" s="10">
        <v>6.9547481175882928E-2</v>
      </c>
      <c r="H60" s="11">
        <v>52092</v>
      </c>
      <c r="I60" s="12">
        <f t="shared" si="4"/>
        <v>2495</v>
      </c>
      <c r="J60" s="10">
        <f t="shared" si="5"/>
        <v>5.7698000111002165E-3</v>
      </c>
      <c r="K60" s="12">
        <f t="shared" si="3"/>
        <v>8262.6666666666661</v>
      </c>
    </row>
    <row r="61" spans="1:11" x14ac:dyDescent="0.3">
      <c r="A61" s="7">
        <v>45544</v>
      </c>
      <c r="B61" s="7" t="str">
        <f t="shared" si="2"/>
        <v>Week 37</v>
      </c>
      <c r="C61" s="8" t="s">
        <v>12</v>
      </c>
      <c r="D61" s="9">
        <v>6671</v>
      </c>
      <c r="E61" s="9">
        <v>550</v>
      </c>
      <c r="F61" s="9">
        <v>438545</v>
      </c>
      <c r="G61" s="10">
        <v>0.17750287883797561</v>
      </c>
      <c r="H61" s="11">
        <v>10541</v>
      </c>
      <c r="I61" s="12">
        <f t="shared" si="4"/>
        <v>6121</v>
      </c>
      <c r="J61" s="10">
        <f t="shared" si="5"/>
        <v>1.3957518612685129E-2</v>
      </c>
      <c r="K61" s="12">
        <f t="shared" si="3"/>
        <v>6351.666666666667</v>
      </c>
    </row>
    <row r="62" spans="1:11" x14ac:dyDescent="0.3">
      <c r="A62" s="7">
        <v>45551</v>
      </c>
      <c r="B62" s="7" t="str">
        <f t="shared" si="2"/>
        <v>Week 38</v>
      </c>
      <c r="C62" s="8" t="s">
        <v>11</v>
      </c>
      <c r="D62" s="9">
        <v>7928</v>
      </c>
      <c r="E62" s="9">
        <v>704</v>
      </c>
      <c r="F62" s="9">
        <v>445769</v>
      </c>
      <c r="G62" s="10">
        <v>0.11194362999670229</v>
      </c>
      <c r="H62" s="11">
        <v>31817</v>
      </c>
      <c r="I62" s="12">
        <f t="shared" si="4"/>
        <v>7224</v>
      </c>
      <c r="J62" s="10">
        <f t="shared" si="5"/>
        <v>1.6205702953772022E-2</v>
      </c>
      <c r="K62" s="12">
        <f t="shared" si="3"/>
        <v>5911.333333333333</v>
      </c>
    </row>
    <row r="63" spans="1:11" x14ac:dyDescent="0.3">
      <c r="A63" s="7">
        <v>45551</v>
      </c>
      <c r="B63" s="7" t="str">
        <f t="shared" si="2"/>
        <v>Week 38</v>
      </c>
      <c r="C63" s="8" t="s">
        <v>12</v>
      </c>
      <c r="D63" s="9">
        <v>2382</v>
      </c>
      <c r="E63" s="9">
        <v>183</v>
      </c>
      <c r="F63" s="9">
        <v>447968</v>
      </c>
      <c r="G63" s="10">
        <v>4.7335970426459033E-2</v>
      </c>
      <c r="H63" s="11">
        <v>47861</v>
      </c>
      <c r="I63" s="12">
        <f t="shared" si="4"/>
        <v>2199</v>
      </c>
      <c r="J63" s="10">
        <f t="shared" si="5"/>
        <v>4.9088327737695546E-3</v>
      </c>
      <c r="K63" s="12">
        <f t="shared" si="3"/>
        <v>5280</v>
      </c>
    </row>
    <row r="64" spans="1:11" x14ac:dyDescent="0.3">
      <c r="A64" s="7">
        <v>45551</v>
      </c>
      <c r="B64" s="7" t="str">
        <f t="shared" si="2"/>
        <v>Week 38</v>
      </c>
      <c r="C64" s="8" t="s">
        <v>11</v>
      </c>
      <c r="D64" s="9">
        <v>2403</v>
      </c>
      <c r="E64" s="9">
        <v>319</v>
      </c>
      <c r="F64" s="9">
        <v>450052</v>
      </c>
      <c r="G64" s="10">
        <v>0.29921209104725682</v>
      </c>
      <c r="H64" s="11">
        <v>23428</v>
      </c>
      <c r="I64" s="12">
        <f t="shared" si="4"/>
        <v>2084</v>
      </c>
      <c r="J64" s="10">
        <f t="shared" si="5"/>
        <v>4.6305760223263092E-3</v>
      </c>
      <c r="K64" s="12">
        <f t="shared" si="3"/>
        <v>5181.333333333333</v>
      </c>
    </row>
    <row r="65" spans="1:11" x14ac:dyDescent="0.3">
      <c r="A65" s="7">
        <v>45551</v>
      </c>
      <c r="B65" s="7" t="str">
        <f t="shared" si="2"/>
        <v>Week 38</v>
      </c>
      <c r="C65" s="8" t="s">
        <v>10</v>
      </c>
      <c r="D65" s="9">
        <v>4292</v>
      </c>
      <c r="E65" s="9">
        <v>367</v>
      </c>
      <c r="F65" s="9">
        <v>453977</v>
      </c>
      <c r="G65" s="10">
        <v>3.503701729382766E-2</v>
      </c>
      <c r="H65" s="11">
        <v>53934</v>
      </c>
      <c r="I65" s="12">
        <f t="shared" si="4"/>
        <v>3925</v>
      </c>
      <c r="J65" s="10">
        <f t="shared" si="5"/>
        <v>8.6458124530537899E-3</v>
      </c>
      <c r="K65" s="12">
        <f t="shared" si="3"/>
        <v>3835.6666666666665</v>
      </c>
    </row>
    <row r="66" spans="1:11" x14ac:dyDescent="0.3">
      <c r="A66" s="7">
        <v>45558</v>
      </c>
      <c r="B66" s="7" t="str">
        <f t="shared" si="2"/>
        <v>Week 39</v>
      </c>
      <c r="C66" s="8" t="s">
        <v>9</v>
      </c>
      <c r="D66" s="9">
        <v>1419</v>
      </c>
      <c r="E66" s="9">
        <v>110</v>
      </c>
      <c r="F66" s="9">
        <v>455286</v>
      </c>
      <c r="G66" s="10">
        <v>0.31554451487636337</v>
      </c>
      <c r="H66" s="11">
        <v>58831</v>
      </c>
      <c r="I66" s="12">
        <f t="shared" ref="I66:I97" si="6">D66-E66</f>
        <v>1309</v>
      </c>
      <c r="J66" s="10">
        <f t="shared" ref="J66:J97" si="7">I66/F66</f>
        <v>2.8751158612388694E-3</v>
      </c>
      <c r="K66" s="12">
        <f t="shared" si="3"/>
        <v>2736</v>
      </c>
    </row>
    <row r="67" spans="1:11" x14ac:dyDescent="0.3">
      <c r="A67" s="7">
        <v>45558</v>
      </c>
      <c r="B67" s="7" t="str">
        <f t="shared" ref="B67:B130" si="8">"Week "&amp;WEEKNUM(A67)</f>
        <v>Week 39</v>
      </c>
      <c r="C67" s="8" t="s">
        <v>10</v>
      </c>
      <c r="D67" s="9">
        <v>5517</v>
      </c>
      <c r="E67" s="9">
        <v>575</v>
      </c>
      <c r="F67" s="9">
        <v>460228</v>
      </c>
      <c r="G67" s="10">
        <v>0.29458442337276308</v>
      </c>
      <c r="H67" s="11">
        <v>20258</v>
      </c>
      <c r="I67" s="12">
        <f t="shared" si="6"/>
        <v>4942</v>
      </c>
      <c r="J67" s="10">
        <f t="shared" si="7"/>
        <v>1.07381558705685E-2</v>
      </c>
      <c r="K67" s="12">
        <f t="shared" si="3"/>
        <v>2439.3333333333335</v>
      </c>
    </row>
    <row r="68" spans="1:11" x14ac:dyDescent="0.3">
      <c r="A68" s="7">
        <v>45558</v>
      </c>
      <c r="B68" s="7" t="str">
        <f t="shared" si="8"/>
        <v>Week 39</v>
      </c>
      <c r="C68" s="8" t="s">
        <v>9</v>
      </c>
      <c r="D68" s="9">
        <v>4302</v>
      </c>
      <c r="E68" s="9">
        <v>275</v>
      </c>
      <c r="F68" s="9">
        <v>464255</v>
      </c>
      <c r="G68" s="10">
        <v>0.1572131694865968</v>
      </c>
      <c r="H68" s="11">
        <v>26044</v>
      </c>
      <c r="I68" s="12">
        <f t="shared" si="6"/>
        <v>4027</v>
      </c>
      <c r="J68" s="10">
        <f t="shared" si="7"/>
        <v>8.6741122874282456E-3</v>
      </c>
      <c r="K68" s="12">
        <f t="shared" si="3"/>
        <v>3392</v>
      </c>
    </row>
    <row r="69" spans="1:11" x14ac:dyDescent="0.3">
      <c r="A69" s="7">
        <v>45558</v>
      </c>
      <c r="B69" s="7" t="str">
        <f t="shared" si="8"/>
        <v>Week 39</v>
      </c>
      <c r="C69" s="8" t="s">
        <v>9</v>
      </c>
      <c r="D69" s="9">
        <v>8857</v>
      </c>
      <c r="E69" s="9">
        <v>1153</v>
      </c>
      <c r="F69" s="9">
        <v>471959</v>
      </c>
      <c r="G69" s="10">
        <v>0.19214592793018037</v>
      </c>
      <c r="H69" s="11">
        <v>39411</v>
      </c>
      <c r="I69" s="12">
        <f t="shared" si="6"/>
        <v>7704</v>
      </c>
      <c r="J69" s="10">
        <f t="shared" si="7"/>
        <v>1.6323451825264481E-2</v>
      </c>
      <c r="K69" s="12">
        <f t="shared" si="3"/>
        <v>3426</v>
      </c>
    </row>
    <row r="70" spans="1:11" x14ac:dyDescent="0.3">
      <c r="A70" s="7">
        <v>45565</v>
      </c>
      <c r="B70" s="7" t="str">
        <f t="shared" si="8"/>
        <v>Week 40</v>
      </c>
      <c r="C70" s="8" t="s">
        <v>9</v>
      </c>
      <c r="D70" s="9">
        <v>8870</v>
      </c>
      <c r="E70" s="9">
        <v>509</v>
      </c>
      <c r="F70" s="9">
        <v>480320</v>
      </c>
      <c r="G70" s="10">
        <v>0.25077864756828783</v>
      </c>
      <c r="H70" s="11">
        <v>15469</v>
      </c>
      <c r="I70" s="12">
        <f t="shared" si="6"/>
        <v>8361</v>
      </c>
      <c r="J70" s="10">
        <f t="shared" si="7"/>
        <v>1.7407145236508995E-2</v>
      </c>
      <c r="K70" s="12">
        <f t="shared" si="3"/>
        <v>5557.666666666667</v>
      </c>
    </row>
    <row r="71" spans="1:11" x14ac:dyDescent="0.3">
      <c r="A71" s="7">
        <v>45565</v>
      </c>
      <c r="B71" s="7" t="str">
        <f t="shared" si="8"/>
        <v>Week 40</v>
      </c>
      <c r="C71" s="8" t="s">
        <v>10</v>
      </c>
      <c r="D71" s="9">
        <v>6693</v>
      </c>
      <c r="E71" s="9">
        <v>995</v>
      </c>
      <c r="F71" s="9">
        <v>486018</v>
      </c>
      <c r="G71" s="10">
        <v>0.2376187713212268</v>
      </c>
      <c r="H71" s="11">
        <v>38854</v>
      </c>
      <c r="I71" s="12">
        <f t="shared" si="6"/>
        <v>5698</v>
      </c>
      <c r="J71" s="10">
        <f t="shared" si="7"/>
        <v>1.1723845618886543E-2</v>
      </c>
      <c r="K71" s="12">
        <f t="shared" si="3"/>
        <v>6697.333333333333</v>
      </c>
    </row>
    <row r="72" spans="1:11" x14ac:dyDescent="0.3">
      <c r="A72" s="7">
        <v>45565</v>
      </c>
      <c r="B72" s="7" t="str">
        <f t="shared" si="8"/>
        <v>Week 40</v>
      </c>
      <c r="C72" s="8" t="s">
        <v>9</v>
      </c>
      <c r="D72" s="9">
        <v>1767</v>
      </c>
      <c r="E72" s="9">
        <v>224</v>
      </c>
      <c r="F72" s="9">
        <v>487561</v>
      </c>
      <c r="G72" s="10">
        <v>0.13208603641390509</v>
      </c>
      <c r="H72" s="11">
        <v>16256</v>
      </c>
      <c r="I72" s="12">
        <f t="shared" si="6"/>
        <v>1543</v>
      </c>
      <c r="J72" s="10">
        <f t="shared" si="7"/>
        <v>3.1647322078673231E-3</v>
      </c>
      <c r="K72" s="12">
        <f t="shared" ref="K72:K135" si="9">AVERAGE(I69:I71)</f>
        <v>7254.333333333333</v>
      </c>
    </row>
    <row r="73" spans="1:11" x14ac:dyDescent="0.3">
      <c r="A73" s="7">
        <v>45565</v>
      </c>
      <c r="B73" s="7" t="str">
        <f t="shared" si="8"/>
        <v>Week 40</v>
      </c>
      <c r="C73" s="8" t="s">
        <v>10</v>
      </c>
      <c r="D73" s="9">
        <v>3044</v>
      </c>
      <c r="E73" s="9">
        <v>212</v>
      </c>
      <c r="F73" s="9">
        <v>490393</v>
      </c>
      <c r="G73" s="10">
        <v>8.5343795690395255E-2</v>
      </c>
      <c r="H73" s="11">
        <v>20720</v>
      </c>
      <c r="I73" s="12">
        <f t="shared" si="6"/>
        <v>2832</v>
      </c>
      <c r="J73" s="10">
        <f t="shared" si="7"/>
        <v>5.7749600830354431E-3</v>
      </c>
      <c r="K73" s="12">
        <f t="shared" si="9"/>
        <v>5200.666666666667</v>
      </c>
    </row>
    <row r="74" spans="1:11" x14ac:dyDescent="0.3">
      <c r="A74" s="7">
        <v>45572</v>
      </c>
      <c r="B74" s="7" t="str">
        <f t="shared" si="8"/>
        <v>Week 41</v>
      </c>
      <c r="C74" s="8" t="s">
        <v>12</v>
      </c>
      <c r="D74" s="9">
        <v>2549</v>
      </c>
      <c r="E74" s="9">
        <v>128</v>
      </c>
      <c r="F74" s="9">
        <v>492814</v>
      </c>
      <c r="G74" s="10">
        <v>0.1273421615457353</v>
      </c>
      <c r="H74" s="11">
        <v>43937</v>
      </c>
      <c r="I74" s="12">
        <f t="shared" si="6"/>
        <v>2421</v>
      </c>
      <c r="J74" s="10">
        <f t="shared" si="7"/>
        <v>4.9126039438814641E-3</v>
      </c>
      <c r="K74" s="12">
        <f t="shared" si="9"/>
        <v>3357.6666666666665</v>
      </c>
    </row>
    <row r="75" spans="1:11" x14ac:dyDescent="0.3">
      <c r="A75" s="7">
        <v>45572</v>
      </c>
      <c r="B75" s="7" t="str">
        <f t="shared" si="8"/>
        <v>Week 41</v>
      </c>
      <c r="C75" s="8" t="s">
        <v>11</v>
      </c>
      <c r="D75" s="9">
        <v>7140</v>
      </c>
      <c r="E75" s="9">
        <v>939</v>
      </c>
      <c r="F75" s="9">
        <v>499015</v>
      </c>
      <c r="G75" s="10">
        <v>0.25120888149654819</v>
      </c>
      <c r="H75" s="11">
        <v>43598</v>
      </c>
      <c r="I75" s="12">
        <f t="shared" si="6"/>
        <v>6201</v>
      </c>
      <c r="J75" s="10">
        <f t="shared" si="7"/>
        <v>1.2426480165926877E-2</v>
      </c>
      <c r="K75" s="12">
        <f t="shared" si="9"/>
        <v>2265.3333333333335</v>
      </c>
    </row>
    <row r="76" spans="1:11" x14ac:dyDescent="0.3">
      <c r="A76" s="7">
        <v>45572</v>
      </c>
      <c r="B76" s="7" t="str">
        <f t="shared" si="8"/>
        <v>Week 41</v>
      </c>
      <c r="C76" s="8" t="s">
        <v>11</v>
      </c>
      <c r="D76" s="9">
        <v>4716</v>
      </c>
      <c r="E76" s="9">
        <v>569</v>
      </c>
      <c r="F76" s="9">
        <v>503162</v>
      </c>
      <c r="G76" s="10">
        <v>0.25648200778278168</v>
      </c>
      <c r="H76" s="11">
        <v>11651</v>
      </c>
      <c r="I76" s="12">
        <f t="shared" si="6"/>
        <v>4147</v>
      </c>
      <c r="J76" s="10">
        <f t="shared" si="7"/>
        <v>8.2418783612434963E-3</v>
      </c>
      <c r="K76" s="12">
        <f t="shared" si="9"/>
        <v>3818</v>
      </c>
    </row>
    <row r="77" spans="1:11" x14ac:dyDescent="0.3">
      <c r="A77" s="7">
        <v>45572</v>
      </c>
      <c r="B77" s="7" t="str">
        <f t="shared" si="8"/>
        <v>Week 41</v>
      </c>
      <c r="C77" s="8" t="s">
        <v>9</v>
      </c>
      <c r="D77" s="9">
        <v>5481</v>
      </c>
      <c r="E77" s="9">
        <v>673</v>
      </c>
      <c r="F77" s="9">
        <v>507970</v>
      </c>
      <c r="G77" s="10">
        <v>0.13087583912435771</v>
      </c>
      <c r="H77" s="11">
        <v>29194</v>
      </c>
      <c r="I77" s="12">
        <f t="shared" si="6"/>
        <v>4808</v>
      </c>
      <c r="J77" s="10">
        <f t="shared" si="7"/>
        <v>9.4651258932614123E-3</v>
      </c>
      <c r="K77" s="12">
        <f t="shared" si="9"/>
        <v>4256.333333333333</v>
      </c>
    </row>
    <row r="78" spans="1:11" x14ac:dyDescent="0.3">
      <c r="A78" s="7">
        <v>45579</v>
      </c>
      <c r="B78" s="7" t="str">
        <f t="shared" si="8"/>
        <v>Week 42</v>
      </c>
      <c r="C78" s="8" t="s">
        <v>10</v>
      </c>
      <c r="D78" s="9">
        <v>8898</v>
      </c>
      <c r="E78" s="9">
        <v>1131</v>
      </c>
      <c r="F78" s="9">
        <v>515737</v>
      </c>
      <c r="G78" s="10">
        <v>2.1877429775253671E-2</v>
      </c>
      <c r="H78" s="11">
        <v>35051</v>
      </c>
      <c r="I78" s="12">
        <f t="shared" si="6"/>
        <v>7767</v>
      </c>
      <c r="J78" s="10">
        <f t="shared" si="7"/>
        <v>1.5060001512398761E-2</v>
      </c>
      <c r="K78" s="12">
        <f t="shared" si="9"/>
        <v>5052</v>
      </c>
    </row>
    <row r="79" spans="1:11" x14ac:dyDescent="0.3">
      <c r="A79" s="7">
        <v>45579</v>
      </c>
      <c r="B79" s="7" t="str">
        <f t="shared" si="8"/>
        <v>Week 42</v>
      </c>
      <c r="C79" s="8" t="s">
        <v>11</v>
      </c>
      <c r="D79" s="9">
        <v>7548</v>
      </c>
      <c r="E79" s="9">
        <v>433</v>
      </c>
      <c r="F79" s="9">
        <v>522852</v>
      </c>
      <c r="G79" s="10">
        <v>8.3562843787534521E-2</v>
      </c>
      <c r="H79" s="11">
        <v>37386</v>
      </c>
      <c r="I79" s="12">
        <f t="shared" si="6"/>
        <v>7115</v>
      </c>
      <c r="J79" s="10">
        <f t="shared" si="7"/>
        <v>1.3608057347012157E-2</v>
      </c>
      <c r="K79" s="12">
        <f t="shared" si="9"/>
        <v>5574</v>
      </c>
    </row>
    <row r="80" spans="1:11" x14ac:dyDescent="0.3">
      <c r="A80" s="7">
        <v>45579</v>
      </c>
      <c r="B80" s="7" t="str">
        <f t="shared" si="8"/>
        <v>Week 42</v>
      </c>
      <c r="C80" s="8" t="s">
        <v>10</v>
      </c>
      <c r="D80" s="9">
        <v>3293</v>
      </c>
      <c r="E80" s="9">
        <v>282</v>
      </c>
      <c r="F80" s="9">
        <v>525863</v>
      </c>
      <c r="G80" s="10">
        <v>0.2704069310828105</v>
      </c>
      <c r="H80" s="11">
        <v>19518</v>
      </c>
      <c r="I80" s="12">
        <f t="shared" si="6"/>
        <v>3011</v>
      </c>
      <c r="J80" s="10">
        <f t="shared" si="7"/>
        <v>5.7258259280458983E-3</v>
      </c>
      <c r="K80" s="12">
        <f t="shared" si="9"/>
        <v>6563.333333333333</v>
      </c>
    </row>
    <row r="81" spans="1:11" x14ac:dyDescent="0.3">
      <c r="A81" s="7">
        <v>45579</v>
      </c>
      <c r="B81" s="7" t="str">
        <f t="shared" si="8"/>
        <v>Week 42</v>
      </c>
      <c r="C81" s="8" t="s">
        <v>10</v>
      </c>
      <c r="D81" s="9">
        <v>5837</v>
      </c>
      <c r="E81" s="9">
        <v>359</v>
      </c>
      <c r="F81" s="9">
        <v>531341</v>
      </c>
      <c r="G81" s="10">
        <v>6.8073045370110719E-2</v>
      </c>
      <c r="H81" s="11">
        <v>56026</v>
      </c>
      <c r="I81" s="12">
        <f t="shared" si="6"/>
        <v>5478</v>
      </c>
      <c r="J81" s="10">
        <f t="shared" si="7"/>
        <v>1.0309763409938251E-2</v>
      </c>
      <c r="K81" s="12">
        <f t="shared" si="9"/>
        <v>5964.333333333333</v>
      </c>
    </row>
    <row r="82" spans="1:11" x14ac:dyDescent="0.3">
      <c r="A82" s="7">
        <v>45586</v>
      </c>
      <c r="B82" s="7" t="str">
        <f t="shared" si="8"/>
        <v>Week 43</v>
      </c>
      <c r="C82" s="8" t="s">
        <v>9</v>
      </c>
      <c r="D82" s="9">
        <v>8758</v>
      </c>
      <c r="E82" s="9">
        <v>1193</v>
      </c>
      <c r="F82" s="9">
        <v>538906</v>
      </c>
      <c r="G82" s="10">
        <v>3.4213758985797149E-2</v>
      </c>
      <c r="H82" s="11">
        <v>26184</v>
      </c>
      <c r="I82" s="12">
        <f t="shared" si="6"/>
        <v>7565</v>
      </c>
      <c r="J82" s="10">
        <f t="shared" si="7"/>
        <v>1.4037698596786824E-2</v>
      </c>
      <c r="K82" s="12">
        <f t="shared" si="9"/>
        <v>5201.333333333333</v>
      </c>
    </row>
    <row r="83" spans="1:11" x14ac:dyDescent="0.3">
      <c r="A83" s="7">
        <v>45586</v>
      </c>
      <c r="B83" s="7" t="str">
        <f t="shared" si="8"/>
        <v>Week 43</v>
      </c>
      <c r="C83" s="8" t="s">
        <v>11</v>
      </c>
      <c r="D83" s="9">
        <v>7793</v>
      </c>
      <c r="E83" s="9">
        <v>875</v>
      </c>
      <c r="F83" s="9">
        <v>545824</v>
      </c>
      <c r="G83" s="10">
        <v>5.5136820660139529E-2</v>
      </c>
      <c r="H83" s="11">
        <v>43787</v>
      </c>
      <c r="I83" s="12">
        <f t="shared" si="6"/>
        <v>6918</v>
      </c>
      <c r="J83" s="10">
        <f t="shared" si="7"/>
        <v>1.267441519610717E-2</v>
      </c>
      <c r="K83" s="12">
        <f t="shared" si="9"/>
        <v>5351.333333333333</v>
      </c>
    </row>
    <row r="84" spans="1:11" x14ac:dyDescent="0.3">
      <c r="A84" s="7">
        <v>45586</v>
      </c>
      <c r="B84" s="7" t="str">
        <f t="shared" si="8"/>
        <v>Week 43</v>
      </c>
      <c r="C84" s="8" t="s">
        <v>9</v>
      </c>
      <c r="D84" s="9">
        <v>8638</v>
      </c>
      <c r="E84" s="9">
        <v>717</v>
      </c>
      <c r="F84" s="9">
        <v>553745</v>
      </c>
      <c r="G84" s="10">
        <v>0.26921416897669498</v>
      </c>
      <c r="H84" s="11">
        <v>31621</v>
      </c>
      <c r="I84" s="12">
        <f t="shared" si="6"/>
        <v>7921</v>
      </c>
      <c r="J84" s="10">
        <f t="shared" si="7"/>
        <v>1.4304418098583283E-2</v>
      </c>
      <c r="K84" s="12">
        <f t="shared" si="9"/>
        <v>6653.666666666667</v>
      </c>
    </row>
    <row r="85" spans="1:11" x14ac:dyDescent="0.3">
      <c r="A85" s="7">
        <v>45586</v>
      </c>
      <c r="B85" s="7" t="str">
        <f t="shared" si="8"/>
        <v>Week 43</v>
      </c>
      <c r="C85" s="8" t="s">
        <v>9</v>
      </c>
      <c r="D85" s="9">
        <v>8993</v>
      </c>
      <c r="E85" s="9">
        <v>506</v>
      </c>
      <c r="F85" s="9">
        <v>562232</v>
      </c>
      <c r="G85" s="10">
        <v>3.5131404829323129E-2</v>
      </c>
      <c r="H85" s="11">
        <v>20028</v>
      </c>
      <c r="I85" s="12">
        <f t="shared" si="6"/>
        <v>8487</v>
      </c>
      <c r="J85" s="10">
        <f t="shared" si="7"/>
        <v>1.509519202037593E-2</v>
      </c>
      <c r="K85" s="12">
        <f t="shared" si="9"/>
        <v>7468</v>
      </c>
    </row>
    <row r="86" spans="1:11" x14ac:dyDescent="0.3">
      <c r="A86" s="7">
        <v>45593</v>
      </c>
      <c r="B86" s="7" t="str">
        <f t="shared" si="8"/>
        <v>Week 44</v>
      </c>
      <c r="C86" s="8" t="s">
        <v>11</v>
      </c>
      <c r="D86" s="9">
        <v>7007</v>
      </c>
      <c r="E86" s="9">
        <v>568</v>
      </c>
      <c r="F86" s="9">
        <v>568671</v>
      </c>
      <c r="G86" s="10">
        <v>0.1150507059442103</v>
      </c>
      <c r="H86" s="11">
        <v>22448</v>
      </c>
      <c r="I86" s="12">
        <f t="shared" si="6"/>
        <v>6439</v>
      </c>
      <c r="J86" s="10">
        <f t="shared" si="7"/>
        <v>1.1322891443382905E-2</v>
      </c>
      <c r="K86" s="12">
        <f t="shared" si="9"/>
        <v>7775.333333333333</v>
      </c>
    </row>
    <row r="87" spans="1:11" x14ac:dyDescent="0.3">
      <c r="A87" s="7">
        <v>45593</v>
      </c>
      <c r="B87" s="7" t="str">
        <f t="shared" si="8"/>
        <v>Week 44</v>
      </c>
      <c r="C87" s="8" t="s">
        <v>11</v>
      </c>
      <c r="D87" s="9">
        <v>6542</v>
      </c>
      <c r="E87" s="9">
        <v>539</v>
      </c>
      <c r="F87" s="9">
        <v>574674</v>
      </c>
      <c r="G87" s="10">
        <v>6.4069368024305948E-2</v>
      </c>
      <c r="H87" s="11">
        <v>55253</v>
      </c>
      <c r="I87" s="12">
        <f t="shared" si="6"/>
        <v>6003</v>
      </c>
      <c r="J87" s="10">
        <f t="shared" si="7"/>
        <v>1.0445922383821088E-2</v>
      </c>
      <c r="K87" s="12">
        <f t="shared" si="9"/>
        <v>7615.666666666667</v>
      </c>
    </row>
    <row r="88" spans="1:11" x14ac:dyDescent="0.3">
      <c r="A88" s="7">
        <v>45593</v>
      </c>
      <c r="B88" s="7" t="str">
        <f t="shared" si="8"/>
        <v>Week 44</v>
      </c>
      <c r="C88" s="8" t="s">
        <v>12</v>
      </c>
      <c r="D88" s="9">
        <v>7356</v>
      </c>
      <c r="E88" s="9">
        <v>904</v>
      </c>
      <c r="F88" s="9">
        <v>581126</v>
      </c>
      <c r="G88" s="10">
        <v>0.1756090761728093</v>
      </c>
      <c r="H88" s="11">
        <v>44051</v>
      </c>
      <c r="I88" s="12">
        <f t="shared" si="6"/>
        <v>6452</v>
      </c>
      <c r="J88" s="10">
        <f t="shared" si="7"/>
        <v>1.1102583604932494E-2</v>
      </c>
      <c r="K88" s="12">
        <f t="shared" si="9"/>
        <v>6976.333333333333</v>
      </c>
    </row>
    <row r="89" spans="1:11" x14ac:dyDescent="0.3">
      <c r="A89" s="7">
        <v>45593</v>
      </c>
      <c r="B89" s="7" t="str">
        <f t="shared" si="8"/>
        <v>Week 44</v>
      </c>
      <c r="C89" s="8" t="s">
        <v>12</v>
      </c>
      <c r="D89" s="9">
        <v>9433</v>
      </c>
      <c r="E89" s="9">
        <v>1073</v>
      </c>
      <c r="F89" s="9">
        <v>589486</v>
      </c>
      <c r="G89" s="10">
        <v>7.2934726185185053E-2</v>
      </c>
      <c r="H89" s="11">
        <v>59811</v>
      </c>
      <c r="I89" s="12">
        <f t="shared" si="6"/>
        <v>8360</v>
      </c>
      <c r="J89" s="10">
        <f t="shared" si="7"/>
        <v>1.4181846557848703E-2</v>
      </c>
      <c r="K89" s="12">
        <f t="shared" si="9"/>
        <v>6298</v>
      </c>
    </row>
    <row r="90" spans="1:11" x14ac:dyDescent="0.3">
      <c r="A90" s="7">
        <v>45600</v>
      </c>
      <c r="B90" s="7" t="str">
        <f t="shared" si="8"/>
        <v>Week 45</v>
      </c>
      <c r="C90" s="8" t="s">
        <v>10</v>
      </c>
      <c r="D90" s="9">
        <v>8380</v>
      </c>
      <c r="E90" s="9">
        <v>1162</v>
      </c>
      <c r="F90" s="9">
        <v>596704</v>
      </c>
      <c r="G90" s="10">
        <v>0.18058534884968089</v>
      </c>
      <c r="H90" s="11">
        <v>40447</v>
      </c>
      <c r="I90" s="12">
        <f t="shared" si="6"/>
        <v>7218</v>
      </c>
      <c r="J90" s="10">
        <f t="shared" si="7"/>
        <v>1.2096449831072022E-2</v>
      </c>
      <c r="K90" s="12">
        <f t="shared" si="9"/>
        <v>6938.333333333333</v>
      </c>
    </row>
    <row r="91" spans="1:11" x14ac:dyDescent="0.3">
      <c r="A91" s="7">
        <v>45600</v>
      </c>
      <c r="B91" s="7" t="str">
        <f t="shared" si="8"/>
        <v>Week 45</v>
      </c>
      <c r="C91" s="8" t="s">
        <v>11</v>
      </c>
      <c r="D91" s="9">
        <v>3385</v>
      </c>
      <c r="E91" s="9">
        <v>329</v>
      </c>
      <c r="F91" s="9">
        <v>599760</v>
      </c>
      <c r="G91" s="10">
        <v>0.17617880485527551</v>
      </c>
      <c r="H91" s="11">
        <v>28394</v>
      </c>
      <c r="I91" s="12">
        <f t="shared" si="6"/>
        <v>3056</v>
      </c>
      <c r="J91" s="10">
        <f t="shared" si="7"/>
        <v>5.0953714819261036E-3</v>
      </c>
      <c r="K91" s="12">
        <f t="shared" si="9"/>
        <v>7343.333333333333</v>
      </c>
    </row>
    <row r="92" spans="1:11" x14ac:dyDescent="0.3">
      <c r="A92" s="7">
        <v>45600</v>
      </c>
      <c r="B92" s="7" t="str">
        <f t="shared" si="8"/>
        <v>Week 45</v>
      </c>
      <c r="C92" s="8" t="s">
        <v>12</v>
      </c>
      <c r="D92" s="9">
        <v>5268</v>
      </c>
      <c r="E92" s="9">
        <v>326</v>
      </c>
      <c r="F92" s="9">
        <v>604702</v>
      </c>
      <c r="G92" s="10">
        <v>0.23435841125050028</v>
      </c>
      <c r="H92" s="11">
        <v>44501</v>
      </c>
      <c r="I92" s="12">
        <f t="shared" si="6"/>
        <v>4942</v>
      </c>
      <c r="J92" s="10">
        <f t="shared" si="7"/>
        <v>8.1726205635172366E-3</v>
      </c>
      <c r="K92" s="12">
        <f t="shared" si="9"/>
        <v>6211.333333333333</v>
      </c>
    </row>
    <row r="93" spans="1:11" x14ac:dyDescent="0.3">
      <c r="A93" s="7">
        <v>45600</v>
      </c>
      <c r="B93" s="7" t="str">
        <f t="shared" si="8"/>
        <v>Week 45</v>
      </c>
      <c r="C93" s="8" t="s">
        <v>10</v>
      </c>
      <c r="D93" s="9">
        <v>1671</v>
      </c>
      <c r="E93" s="9">
        <v>202</v>
      </c>
      <c r="F93" s="9">
        <v>606171</v>
      </c>
      <c r="G93" s="10">
        <v>0.15150015424690388</v>
      </c>
      <c r="H93" s="11">
        <v>40254</v>
      </c>
      <c r="I93" s="12">
        <f t="shared" si="6"/>
        <v>1469</v>
      </c>
      <c r="J93" s="10">
        <f t="shared" si="7"/>
        <v>2.4234085761278583E-3</v>
      </c>
      <c r="K93" s="12">
        <f t="shared" si="9"/>
        <v>5072</v>
      </c>
    </row>
    <row r="94" spans="1:11" x14ac:dyDescent="0.3">
      <c r="A94" s="7">
        <v>45607</v>
      </c>
      <c r="B94" s="7" t="str">
        <f t="shared" si="8"/>
        <v>Week 46</v>
      </c>
      <c r="C94" s="8" t="s">
        <v>10</v>
      </c>
      <c r="D94" s="9">
        <v>1163</v>
      </c>
      <c r="E94" s="9">
        <v>146</v>
      </c>
      <c r="F94" s="9">
        <v>607188</v>
      </c>
      <c r="G94" s="10">
        <v>0.2177776899411715</v>
      </c>
      <c r="H94" s="11">
        <v>28509</v>
      </c>
      <c r="I94" s="12">
        <f t="shared" si="6"/>
        <v>1017</v>
      </c>
      <c r="J94" s="10">
        <f t="shared" si="7"/>
        <v>1.6749342872388782E-3</v>
      </c>
      <c r="K94" s="12">
        <f t="shared" si="9"/>
        <v>3155.6666666666665</v>
      </c>
    </row>
    <row r="95" spans="1:11" x14ac:dyDescent="0.3">
      <c r="A95" s="7">
        <v>45607</v>
      </c>
      <c r="B95" s="7" t="str">
        <f t="shared" si="8"/>
        <v>Week 46</v>
      </c>
      <c r="C95" s="8" t="s">
        <v>10</v>
      </c>
      <c r="D95" s="9">
        <v>9656</v>
      </c>
      <c r="E95" s="9">
        <v>1024</v>
      </c>
      <c r="F95" s="9">
        <v>615820</v>
      </c>
      <c r="G95" s="10">
        <v>8.7252768666168684E-2</v>
      </c>
      <c r="H95" s="11">
        <v>58998</v>
      </c>
      <c r="I95" s="12">
        <f t="shared" si="6"/>
        <v>8632</v>
      </c>
      <c r="J95" s="10">
        <f t="shared" si="7"/>
        <v>1.401708291383846E-2</v>
      </c>
      <c r="K95" s="12">
        <f t="shared" si="9"/>
        <v>2476</v>
      </c>
    </row>
    <row r="96" spans="1:11" x14ac:dyDescent="0.3">
      <c r="A96" s="7">
        <v>45607</v>
      </c>
      <c r="B96" s="7" t="str">
        <f t="shared" si="8"/>
        <v>Week 46</v>
      </c>
      <c r="C96" s="8" t="s">
        <v>12</v>
      </c>
      <c r="D96" s="9">
        <v>5592</v>
      </c>
      <c r="E96" s="9">
        <v>710</v>
      </c>
      <c r="F96" s="9">
        <v>620702</v>
      </c>
      <c r="G96" s="10">
        <v>9.0711806954061697E-2</v>
      </c>
      <c r="H96" s="11">
        <v>24472</v>
      </c>
      <c r="I96" s="12">
        <f t="shared" si="6"/>
        <v>4882</v>
      </c>
      <c r="J96" s="10">
        <f t="shared" si="7"/>
        <v>7.8652880126050834E-3</v>
      </c>
      <c r="K96" s="12">
        <f t="shared" si="9"/>
        <v>3706</v>
      </c>
    </row>
    <row r="97" spans="1:11" x14ac:dyDescent="0.3">
      <c r="A97" s="7">
        <v>45607</v>
      </c>
      <c r="B97" s="7" t="str">
        <f t="shared" si="8"/>
        <v>Week 46</v>
      </c>
      <c r="C97" s="8" t="s">
        <v>11</v>
      </c>
      <c r="D97" s="9">
        <v>5795</v>
      </c>
      <c r="E97" s="9">
        <v>575</v>
      </c>
      <c r="F97" s="9">
        <v>625922</v>
      </c>
      <c r="G97" s="10">
        <v>3.0908004511744268E-2</v>
      </c>
      <c r="H97" s="11">
        <v>55657</v>
      </c>
      <c r="I97" s="12">
        <f t="shared" si="6"/>
        <v>5220</v>
      </c>
      <c r="J97" s="10">
        <f t="shared" si="7"/>
        <v>8.3396972785746461E-3</v>
      </c>
      <c r="K97" s="12">
        <f t="shared" si="9"/>
        <v>4843.666666666667</v>
      </c>
    </row>
    <row r="98" spans="1:11" x14ac:dyDescent="0.3">
      <c r="A98" s="7">
        <v>45614</v>
      </c>
      <c r="B98" s="7" t="str">
        <f t="shared" si="8"/>
        <v>Week 47</v>
      </c>
      <c r="C98" s="8" t="s">
        <v>9</v>
      </c>
      <c r="D98" s="9">
        <v>5798</v>
      </c>
      <c r="E98" s="9">
        <v>592</v>
      </c>
      <c r="F98" s="9">
        <v>631128</v>
      </c>
      <c r="G98" s="10">
        <v>1.6774727155188809E-2</v>
      </c>
      <c r="H98" s="11">
        <v>13471</v>
      </c>
      <c r="I98" s="12">
        <f t="shared" ref="I98:I129" si="10">D98-E98</f>
        <v>5206</v>
      </c>
      <c r="J98" s="10">
        <f t="shared" ref="J98:J129" si="11">I98/F98</f>
        <v>8.2487229214992831E-3</v>
      </c>
      <c r="K98" s="12">
        <f t="shared" si="9"/>
        <v>6244.666666666667</v>
      </c>
    </row>
    <row r="99" spans="1:11" x14ac:dyDescent="0.3">
      <c r="A99" s="7">
        <v>45614</v>
      </c>
      <c r="B99" s="7" t="str">
        <f t="shared" si="8"/>
        <v>Week 47</v>
      </c>
      <c r="C99" s="8" t="s">
        <v>10</v>
      </c>
      <c r="D99" s="9">
        <v>7036</v>
      </c>
      <c r="E99" s="9">
        <v>652</v>
      </c>
      <c r="F99" s="9">
        <v>637512</v>
      </c>
      <c r="G99" s="10">
        <v>3.5705994553828009E-2</v>
      </c>
      <c r="H99" s="11">
        <v>51796</v>
      </c>
      <c r="I99" s="12">
        <f t="shared" si="10"/>
        <v>6384</v>
      </c>
      <c r="J99" s="10">
        <f t="shared" si="11"/>
        <v>1.0013929149568949E-2</v>
      </c>
      <c r="K99" s="12">
        <f t="shared" si="9"/>
        <v>5102.666666666667</v>
      </c>
    </row>
    <row r="100" spans="1:11" x14ac:dyDescent="0.3">
      <c r="A100" s="7">
        <v>45614</v>
      </c>
      <c r="B100" s="7" t="str">
        <f t="shared" si="8"/>
        <v>Week 47</v>
      </c>
      <c r="C100" s="8" t="s">
        <v>12</v>
      </c>
      <c r="D100" s="9">
        <v>3355</v>
      </c>
      <c r="E100" s="9">
        <v>176</v>
      </c>
      <c r="F100" s="9">
        <v>640691</v>
      </c>
      <c r="G100" s="10">
        <v>0.12426427091999111</v>
      </c>
      <c r="H100" s="11">
        <v>40268</v>
      </c>
      <c r="I100" s="12">
        <f t="shared" si="10"/>
        <v>3179</v>
      </c>
      <c r="J100" s="10">
        <f t="shared" si="11"/>
        <v>4.9618302738761748E-3</v>
      </c>
      <c r="K100" s="12">
        <f t="shared" si="9"/>
        <v>5603.333333333333</v>
      </c>
    </row>
    <row r="101" spans="1:11" x14ac:dyDescent="0.3">
      <c r="A101" s="7">
        <v>45614</v>
      </c>
      <c r="B101" s="7" t="str">
        <f t="shared" si="8"/>
        <v>Week 47</v>
      </c>
      <c r="C101" s="8" t="s">
        <v>12</v>
      </c>
      <c r="D101" s="9">
        <v>6887</v>
      </c>
      <c r="E101" s="9">
        <v>418</v>
      </c>
      <c r="F101" s="9">
        <v>647160</v>
      </c>
      <c r="G101" s="10">
        <v>0.20240280610668152</v>
      </c>
      <c r="H101" s="11">
        <v>18329</v>
      </c>
      <c r="I101" s="12">
        <f t="shared" si="10"/>
        <v>6469</v>
      </c>
      <c r="J101" s="10">
        <f t="shared" si="11"/>
        <v>9.9959824463811114E-3</v>
      </c>
      <c r="K101" s="12">
        <f t="shared" si="9"/>
        <v>4923</v>
      </c>
    </row>
    <row r="102" spans="1:11" x14ac:dyDescent="0.3">
      <c r="A102" s="7">
        <v>45621</v>
      </c>
      <c r="B102" s="7" t="str">
        <f t="shared" si="8"/>
        <v>Week 48</v>
      </c>
      <c r="C102" s="8" t="s">
        <v>9</v>
      </c>
      <c r="D102" s="9">
        <v>8961</v>
      </c>
      <c r="E102" s="9">
        <v>476</v>
      </c>
      <c r="F102" s="9">
        <v>655645</v>
      </c>
      <c r="G102" s="10">
        <v>0.15458517947974901</v>
      </c>
      <c r="H102" s="11">
        <v>44865</v>
      </c>
      <c r="I102" s="12">
        <f t="shared" si="10"/>
        <v>8485</v>
      </c>
      <c r="J102" s="10">
        <f t="shared" si="11"/>
        <v>1.2941454598143812E-2</v>
      </c>
      <c r="K102" s="12">
        <f t="shared" si="9"/>
        <v>5344</v>
      </c>
    </row>
    <row r="103" spans="1:11" x14ac:dyDescent="0.3">
      <c r="A103" s="7">
        <v>45621</v>
      </c>
      <c r="B103" s="7" t="str">
        <f t="shared" si="8"/>
        <v>Week 48</v>
      </c>
      <c r="C103" s="8" t="s">
        <v>9</v>
      </c>
      <c r="D103" s="9">
        <v>6827</v>
      </c>
      <c r="E103" s="9">
        <v>775</v>
      </c>
      <c r="F103" s="9">
        <v>661697</v>
      </c>
      <c r="G103" s="10">
        <v>0.15966220188394389</v>
      </c>
      <c r="H103" s="11">
        <v>56850</v>
      </c>
      <c r="I103" s="12">
        <f t="shared" si="10"/>
        <v>6052</v>
      </c>
      <c r="J103" s="10">
        <f t="shared" si="11"/>
        <v>9.1461802003031598E-3</v>
      </c>
      <c r="K103" s="12">
        <f t="shared" si="9"/>
        <v>6044.333333333333</v>
      </c>
    </row>
    <row r="104" spans="1:11" x14ac:dyDescent="0.3">
      <c r="A104" s="7">
        <v>45621</v>
      </c>
      <c r="B104" s="7" t="str">
        <f t="shared" si="8"/>
        <v>Week 48</v>
      </c>
      <c r="C104" s="8" t="s">
        <v>12</v>
      </c>
      <c r="D104" s="9">
        <v>9737</v>
      </c>
      <c r="E104" s="9">
        <v>792</v>
      </c>
      <c r="F104" s="9">
        <v>670642</v>
      </c>
      <c r="G104" s="10">
        <v>5.301785453341723E-2</v>
      </c>
      <c r="H104" s="11">
        <v>56698</v>
      </c>
      <c r="I104" s="12">
        <f t="shared" si="10"/>
        <v>8945</v>
      </c>
      <c r="J104" s="10">
        <f t="shared" si="11"/>
        <v>1.3337965710468476E-2</v>
      </c>
      <c r="K104" s="12">
        <f t="shared" si="9"/>
        <v>7002</v>
      </c>
    </row>
    <row r="105" spans="1:11" x14ac:dyDescent="0.3">
      <c r="A105" s="7">
        <v>45621</v>
      </c>
      <c r="B105" s="7" t="str">
        <f t="shared" si="8"/>
        <v>Week 48</v>
      </c>
      <c r="C105" s="8" t="s">
        <v>11</v>
      </c>
      <c r="D105" s="9">
        <v>5719</v>
      </c>
      <c r="E105" s="9">
        <v>576</v>
      </c>
      <c r="F105" s="9">
        <v>675785</v>
      </c>
      <c r="G105" s="10">
        <v>0.1021656296011305</v>
      </c>
      <c r="H105" s="11">
        <v>38272</v>
      </c>
      <c r="I105" s="12">
        <f t="shared" si="10"/>
        <v>5143</v>
      </c>
      <c r="J105" s="10">
        <f t="shared" si="11"/>
        <v>7.6104086358827145E-3</v>
      </c>
      <c r="K105" s="12">
        <f t="shared" si="9"/>
        <v>7827.333333333333</v>
      </c>
    </row>
    <row r="106" spans="1:11" x14ac:dyDescent="0.3">
      <c r="A106" s="7">
        <v>45628</v>
      </c>
      <c r="B106" s="7" t="str">
        <f t="shared" si="8"/>
        <v>Week 49</v>
      </c>
      <c r="C106" s="8" t="s">
        <v>9</v>
      </c>
      <c r="D106" s="9">
        <v>1593</v>
      </c>
      <c r="E106" s="9">
        <v>224</v>
      </c>
      <c r="F106" s="9">
        <v>677154</v>
      </c>
      <c r="G106" s="10">
        <v>4.1495730660972251E-2</v>
      </c>
      <c r="H106" s="11">
        <v>52845</v>
      </c>
      <c r="I106" s="12">
        <f t="shared" si="10"/>
        <v>1369</v>
      </c>
      <c r="J106" s="10">
        <f t="shared" si="11"/>
        <v>2.0216966893793729E-3</v>
      </c>
      <c r="K106" s="12">
        <f t="shared" si="9"/>
        <v>6713.333333333333</v>
      </c>
    </row>
    <row r="107" spans="1:11" x14ac:dyDescent="0.3">
      <c r="A107" s="7">
        <v>45628</v>
      </c>
      <c r="B107" s="7" t="str">
        <f t="shared" si="8"/>
        <v>Week 49</v>
      </c>
      <c r="C107" s="8" t="s">
        <v>12</v>
      </c>
      <c r="D107" s="9">
        <v>5839</v>
      </c>
      <c r="E107" s="9">
        <v>437</v>
      </c>
      <c r="F107" s="9">
        <v>682556</v>
      </c>
      <c r="G107" s="10">
        <v>0.1744750613869045</v>
      </c>
      <c r="H107" s="11">
        <v>16397</v>
      </c>
      <c r="I107" s="12">
        <f t="shared" si="10"/>
        <v>5402</v>
      </c>
      <c r="J107" s="10">
        <f t="shared" si="11"/>
        <v>7.9143689309009082E-3</v>
      </c>
      <c r="K107" s="12">
        <f t="shared" si="9"/>
        <v>5152.333333333333</v>
      </c>
    </row>
    <row r="108" spans="1:11" x14ac:dyDescent="0.3">
      <c r="A108" s="7">
        <v>45628</v>
      </c>
      <c r="B108" s="7" t="str">
        <f t="shared" si="8"/>
        <v>Week 49</v>
      </c>
      <c r="C108" s="8" t="s">
        <v>9</v>
      </c>
      <c r="D108" s="9">
        <v>8394</v>
      </c>
      <c r="E108" s="9">
        <v>764</v>
      </c>
      <c r="F108" s="9">
        <v>690186</v>
      </c>
      <c r="G108" s="10">
        <v>6.355678034616756E-2</v>
      </c>
      <c r="H108" s="11">
        <v>42373</v>
      </c>
      <c r="I108" s="12">
        <f t="shared" si="10"/>
        <v>7630</v>
      </c>
      <c r="J108" s="10">
        <f t="shared" si="11"/>
        <v>1.1054990973447738E-2</v>
      </c>
      <c r="K108" s="12">
        <f t="shared" si="9"/>
        <v>3971.3333333333335</v>
      </c>
    </row>
    <row r="109" spans="1:11" x14ac:dyDescent="0.3">
      <c r="A109" s="7">
        <v>45628</v>
      </c>
      <c r="B109" s="7" t="str">
        <f t="shared" si="8"/>
        <v>Week 49</v>
      </c>
      <c r="C109" s="8" t="s">
        <v>11</v>
      </c>
      <c r="D109" s="9">
        <v>4493</v>
      </c>
      <c r="E109" s="9">
        <v>564</v>
      </c>
      <c r="F109" s="9">
        <v>694115</v>
      </c>
      <c r="G109" s="10">
        <v>0.16625487131094988</v>
      </c>
      <c r="H109" s="11">
        <v>45525</v>
      </c>
      <c r="I109" s="12">
        <f t="shared" si="10"/>
        <v>3929</v>
      </c>
      <c r="J109" s="10">
        <f t="shared" si="11"/>
        <v>5.660445315257558E-3</v>
      </c>
      <c r="K109" s="12">
        <f t="shared" si="9"/>
        <v>4800.333333333333</v>
      </c>
    </row>
    <row r="110" spans="1:11" x14ac:dyDescent="0.3">
      <c r="A110" s="7">
        <v>45635</v>
      </c>
      <c r="B110" s="7" t="str">
        <f t="shared" si="8"/>
        <v>Week 50</v>
      </c>
      <c r="C110" s="8" t="s">
        <v>10</v>
      </c>
      <c r="D110" s="9">
        <v>7164</v>
      </c>
      <c r="E110" s="9">
        <v>522</v>
      </c>
      <c r="F110" s="9">
        <v>700757</v>
      </c>
      <c r="G110" s="10">
        <v>0.13449169969047761</v>
      </c>
      <c r="H110" s="11">
        <v>34570</v>
      </c>
      <c r="I110" s="12">
        <f t="shared" si="10"/>
        <v>6642</v>
      </c>
      <c r="J110" s="10">
        <f t="shared" si="11"/>
        <v>9.4783213011072308E-3</v>
      </c>
      <c r="K110" s="12">
        <f t="shared" si="9"/>
        <v>5653.666666666667</v>
      </c>
    </row>
    <row r="111" spans="1:11" x14ac:dyDescent="0.3">
      <c r="A111" s="7">
        <v>45635</v>
      </c>
      <c r="B111" s="7" t="str">
        <f t="shared" si="8"/>
        <v>Week 50</v>
      </c>
      <c r="C111" s="8" t="s">
        <v>9</v>
      </c>
      <c r="D111" s="9">
        <v>3672</v>
      </c>
      <c r="E111" s="9">
        <v>211</v>
      </c>
      <c r="F111" s="9">
        <v>704218</v>
      </c>
      <c r="G111" s="10">
        <v>0.1235057894004413</v>
      </c>
      <c r="H111" s="11">
        <v>28284</v>
      </c>
      <c r="I111" s="12">
        <f t="shared" si="10"/>
        <v>3461</v>
      </c>
      <c r="J111" s="10">
        <f t="shared" si="11"/>
        <v>4.9146713091684675E-3</v>
      </c>
      <c r="K111" s="12">
        <f t="shared" si="9"/>
        <v>6067</v>
      </c>
    </row>
    <row r="112" spans="1:11" x14ac:dyDescent="0.3">
      <c r="A112" s="7">
        <v>45635</v>
      </c>
      <c r="B112" s="7" t="str">
        <f t="shared" si="8"/>
        <v>Week 50</v>
      </c>
      <c r="C112" s="8" t="s">
        <v>11</v>
      </c>
      <c r="D112" s="9">
        <v>5200</v>
      </c>
      <c r="E112" s="9">
        <v>410</v>
      </c>
      <c r="F112" s="9">
        <v>709008</v>
      </c>
      <c r="G112" s="10">
        <v>0.12913394489201821</v>
      </c>
      <c r="H112" s="11">
        <v>28994</v>
      </c>
      <c r="I112" s="12">
        <f t="shared" si="10"/>
        <v>4790</v>
      </c>
      <c r="J112" s="10">
        <f t="shared" si="11"/>
        <v>6.7559181278631555E-3</v>
      </c>
      <c r="K112" s="12">
        <f t="shared" si="9"/>
        <v>4677.333333333333</v>
      </c>
    </row>
    <row r="113" spans="1:11" x14ac:dyDescent="0.3">
      <c r="A113" s="7">
        <v>45635</v>
      </c>
      <c r="B113" s="7" t="str">
        <f t="shared" si="8"/>
        <v>Week 50</v>
      </c>
      <c r="C113" s="8" t="s">
        <v>12</v>
      </c>
      <c r="D113" s="9">
        <v>1016</v>
      </c>
      <c r="E113" s="9">
        <v>67</v>
      </c>
      <c r="F113" s="9">
        <v>709957</v>
      </c>
      <c r="G113" s="10">
        <v>0.20774215903216672</v>
      </c>
      <c r="H113" s="11">
        <v>33284</v>
      </c>
      <c r="I113" s="12">
        <f t="shared" si="10"/>
        <v>949</v>
      </c>
      <c r="J113" s="10">
        <f t="shared" si="11"/>
        <v>1.3367006734210664E-3</v>
      </c>
      <c r="K113" s="12">
        <f t="shared" si="9"/>
        <v>4964.333333333333</v>
      </c>
    </row>
    <row r="114" spans="1:11" x14ac:dyDescent="0.3">
      <c r="A114" s="7">
        <v>45642</v>
      </c>
      <c r="B114" s="7" t="str">
        <f t="shared" si="8"/>
        <v>Week 51</v>
      </c>
      <c r="C114" s="8" t="s">
        <v>9</v>
      </c>
      <c r="D114" s="9">
        <v>4191</v>
      </c>
      <c r="E114" s="9">
        <v>599</v>
      </c>
      <c r="F114" s="9">
        <v>713549</v>
      </c>
      <c r="G114" s="10">
        <v>0.11564167282134789</v>
      </c>
      <c r="H114" s="11">
        <v>27833</v>
      </c>
      <c r="I114" s="12">
        <f t="shared" si="10"/>
        <v>3592</v>
      </c>
      <c r="J114" s="10">
        <f t="shared" si="11"/>
        <v>5.033992059410076E-3</v>
      </c>
      <c r="K114" s="12">
        <f t="shared" si="9"/>
        <v>3066.6666666666665</v>
      </c>
    </row>
    <row r="115" spans="1:11" x14ac:dyDescent="0.3">
      <c r="A115" s="7">
        <v>45642</v>
      </c>
      <c r="B115" s="7" t="str">
        <f t="shared" si="8"/>
        <v>Week 51</v>
      </c>
      <c r="C115" s="8" t="s">
        <v>9</v>
      </c>
      <c r="D115" s="9">
        <v>1392</v>
      </c>
      <c r="E115" s="9">
        <v>182</v>
      </c>
      <c r="F115" s="9">
        <v>714759</v>
      </c>
      <c r="G115" s="10">
        <v>5.9603306848881932E-2</v>
      </c>
      <c r="H115" s="11">
        <v>35122</v>
      </c>
      <c r="I115" s="12">
        <f t="shared" si="10"/>
        <v>1210</v>
      </c>
      <c r="J115" s="10">
        <f t="shared" si="11"/>
        <v>1.6928782988391892E-3</v>
      </c>
      <c r="K115" s="12">
        <f t="shared" si="9"/>
        <v>3110.3333333333335</v>
      </c>
    </row>
    <row r="116" spans="1:11" x14ac:dyDescent="0.3">
      <c r="A116" s="7">
        <v>45642</v>
      </c>
      <c r="B116" s="7" t="str">
        <f t="shared" si="8"/>
        <v>Week 51</v>
      </c>
      <c r="C116" s="8" t="s">
        <v>12</v>
      </c>
      <c r="D116" s="9">
        <v>9616</v>
      </c>
      <c r="E116" s="9">
        <v>1089</v>
      </c>
      <c r="F116" s="9">
        <v>723286</v>
      </c>
      <c r="G116" s="10">
        <v>0.19258633514266829</v>
      </c>
      <c r="H116" s="11">
        <v>15017</v>
      </c>
      <c r="I116" s="12">
        <f t="shared" si="10"/>
        <v>8527</v>
      </c>
      <c r="J116" s="10">
        <f t="shared" si="11"/>
        <v>1.178925072516266E-2</v>
      </c>
      <c r="K116" s="12">
        <f t="shared" si="9"/>
        <v>1917</v>
      </c>
    </row>
    <row r="117" spans="1:11" x14ac:dyDescent="0.3">
      <c r="A117" s="7">
        <v>45642</v>
      </c>
      <c r="B117" s="7" t="str">
        <f t="shared" si="8"/>
        <v>Week 51</v>
      </c>
      <c r="C117" s="8" t="s">
        <v>10</v>
      </c>
      <c r="D117" s="9">
        <v>7272</v>
      </c>
      <c r="E117" s="9">
        <v>997</v>
      </c>
      <c r="F117" s="9">
        <v>729561</v>
      </c>
      <c r="G117" s="10">
        <v>0.13428486445958598</v>
      </c>
      <c r="H117" s="11">
        <v>26370</v>
      </c>
      <c r="I117" s="12">
        <f t="shared" si="10"/>
        <v>6275</v>
      </c>
      <c r="J117" s="10">
        <f t="shared" si="11"/>
        <v>8.6010628309353167E-3</v>
      </c>
      <c r="K117" s="12">
        <f t="shared" si="9"/>
        <v>4443</v>
      </c>
    </row>
    <row r="118" spans="1:11" x14ac:dyDescent="0.3">
      <c r="A118" s="7">
        <v>45649</v>
      </c>
      <c r="B118" s="7" t="str">
        <f t="shared" si="8"/>
        <v>Week 52</v>
      </c>
      <c r="C118" s="8" t="s">
        <v>12</v>
      </c>
      <c r="D118" s="9">
        <v>1571</v>
      </c>
      <c r="E118" s="9">
        <v>204</v>
      </c>
      <c r="F118" s="9">
        <v>730928</v>
      </c>
      <c r="G118" s="10">
        <v>0.1944938489153514</v>
      </c>
      <c r="H118" s="11">
        <v>39252</v>
      </c>
      <c r="I118" s="12">
        <f t="shared" si="10"/>
        <v>1367</v>
      </c>
      <c r="J118" s="10">
        <f t="shared" si="11"/>
        <v>1.8702252479040344E-3</v>
      </c>
      <c r="K118" s="12">
        <f t="shared" si="9"/>
        <v>5337.333333333333</v>
      </c>
    </row>
    <row r="119" spans="1:11" x14ac:dyDescent="0.3">
      <c r="A119" s="7">
        <v>45649</v>
      </c>
      <c r="B119" s="7" t="str">
        <f t="shared" si="8"/>
        <v>Week 52</v>
      </c>
      <c r="C119" s="8" t="s">
        <v>9</v>
      </c>
      <c r="D119" s="9">
        <v>4631</v>
      </c>
      <c r="E119" s="9">
        <v>317</v>
      </c>
      <c r="F119" s="9">
        <v>735242</v>
      </c>
      <c r="G119" s="10">
        <v>1.381177897889402E-2</v>
      </c>
      <c r="H119" s="11">
        <v>17999</v>
      </c>
      <c r="I119" s="12">
        <f t="shared" si="10"/>
        <v>4314</v>
      </c>
      <c r="J119" s="10">
        <f t="shared" si="11"/>
        <v>5.8674558852731479E-3</v>
      </c>
      <c r="K119" s="12">
        <f t="shared" si="9"/>
        <v>5389.666666666667</v>
      </c>
    </row>
    <row r="120" spans="1:11" x14ac:dyDescent="0.3">
      <c r="A120" s="7">
        <v>45649</v>
      </c>
      <c r="B120" s="7" t="str">
        <f t="shared" si="8"/>
        <v>Week 52</v>
      </c>
      <c r="C120" s="8" t="s">
        <v>12</v>
      </c>
      <c r="D120" s="9">
        <v>7172</v>
      </c>
      <c r="E120" s="9">
        <v>998</v>
      </c>
      <c r="F120" s="9">
        <v>741416</v>
      </c>
      <c r="G120" s="10">
        <v>0.18066780323057499</v>
      </c>
      <c r="H120" s="11">
        <v>32436</v>
      </c>
      <c r="I120" s="12">
        <f t="shared" si="10"/>
        <v>6174</v>
      </c>
      <c r="J120" s="10">
        <f t="shared" si="11"/>
        <v>8.32730882527488E-3</v>
      </c>
      <c r="K120" s="12">
        <f t="shared" si="9"/>
        <v>3985.3333333333335</v>
      </c>
    </row>
    <row r="121" spans="1:11" x14ac:dyDescent="0.3">
      <c r="A121" s="7">
        <v>45649</v>
      </c>
      <c r="B121" s="7" t="str">
        <f t="shared" si="8"/>
        <v>Week 52</v>
      </c>
      <c r="C121" s="8" t="s">
        <v>11</v>
      </c>
      <c r="D121" s="9">
        <v>8177</v>
      </c>
      <c r="E121" s="9">
        <v>849</v>
      </c>
      <c r="F121" s="9">
        <v>748744</v>
      </c>
      <c r="G121" s="10">
        <v>0.1034986590877523</v>
      </c>
      <c r="H121" s="11">
        <v>52963</v>
      </c>
      <c r="I121" s="12">
        <f t="shared" si="10"/>
        <v>7328</v>
      </c>
      <c r="J121" s="10">
        <f t="shared" si="11"/>
        <v>9.7870567243276748E-3</v>
      </c>
      <c r="K121" s="12">
        <f t="shared" si="9"/>
        <v>3951.6666666666665</v>
      </c>
    </row>
    <row r="122" spans="1:11" x14ac:dyDescent="0.3">
      <c r="A122" s="7">
        <v>45656</v>
      </c>
      <c r="B122" s="7" t="str">
        <f t="shared" si="8"/>
        <v>Week 53</v>
      </c>
      <c r="C122" s="8" t="s">
        <v>12</v>
      </c>
      <c r="D122" s="9">
        <v>9433</v>
      </c>
      <c r="E122" s="9">
        <v>1233</v>
      </c>
      <c r="F122" s="9">
        <v>756944</v>
      </c>
      <c r="G122" s="10">
        <v>0.1139172778963833</v>
      </c>
      <c r="H122" s="11">
        <v>12096</v>
      </c>
      <c r="I122" s="12">
        <f t="shared" si="10"/>
        <v>8200</v>
      </c>
      <c r="J122" s="10">
        <f t="shared" si="11"/>
        <v>1.0833033883616226E-2</v>
      </c>
      <c r="K122" s="12">
        <f t="shared" si="9"/>
        <v>5938.666666666667</v>
      </c>
    </row>
    <row r="123" spans="1:11" x14ac:dyDescent="0.3">
      <c r="A123" s="7">
        <v>45656</v>
      </c>
      <c r="B123" s="7" t="str">
        <f t="shared" si="8"/>
        <v>Week 53</v>
      </c>
      <c r="C123" s="8" t="s">
        <v>9</v>
      </c>
      <c r="D123" s="9">
        <v>4897</v>
      </c>
      <c r="E123" s="9">
        <v>683</v>
      </c>
      <c r="F123" s="9">
        <v>761158</v>
      </c>
      <c r="G123" s="10">
        <v>0.15062312949479609</v>
      </c>
      <c r="H123" s="11">
        <v>58201</v>
      </c>
      <c r="I123" s="12">
        <f t="shared" si="10"/>
        <v>4214</v>
      </c>
      <c r="J123" s="10">
        <f t="shared" si="11"/>
        <v>5.5363012672795921E-3</v>
      </c>
      <c r="K123" s="12">
        <f t="shared" si="9"/>
        <v>7234</v>
      </c>
    </row>
    <row r="124" spans="1:11" x14ac:dyDescent="0.3">
      <c r="A124" s="7">
        <v>45656</v>
      </c>
      <c r="B124" s="7" t="str">
        <f t="shared" si="8"/>
        <v>Week 53</v>
      </c>
      <c r="C124" s="8" t="s">
        <v>12</v>
      </c>
      <c r="D124" s="9">
        <v>9123</v>
      </c>
      <c r="E124" s="9">
        <v>746</v>
      </c>
      <c r="F124" s="9">
        <v>769535</v>
      </c>
      <c r="G124" s="10">
        <v>6.3086149427901264E-2</v>
      </c>
      <c r="H124" s="11">
        <v>35279</v>
      </c>
      <c r="I124" s="12">
        <f t="shared" si="10"/>
        <v>8377</v>
      </c>
      <c r="J124" s="10">
        <f t="shared" si="11"/>
        <v>1.0885794668208723E-2</v>
      </c>
      <c r="K124" s="12">
        <f t="shared" si="9"/>
        <v>6580.666666666667</v>
      </c>
    </row>
    <row r="125" spans="1:11" x14ac:dyDescent="0.3">
      <c r="A125" s="7">
        <v>45656</v>
      </c>
      <c r="B125" s="7" t="str">
        <f t="shared" si="8"/>
        <v>Week 53</v>
      </c>
      <c r="C125" s="8" t="s">
        <v>10</v>
      </c>
      <c r="D125" s="9">
        <v>3279</v>
      </c>
      <c r="E125" s="9">
        <v>200</v>
      </c>
      <c r="F125" s="9">
        <v>772614</v>
      </c>
      <c r="G125" s="10">
        <v>5.0212654702089271E-2</v>
      </c>
      <c r="H125" s="11">
        <v>53363</v>
      </c>
      <c r="I125" s="12">
        <f t="shared" si="10"/>
        <v>3079</v>
      </c>
      <c r="J125" s="10">
        <f t="shared" si="11"/>
        <v>3.9851724146857288E-3</v>
      </c>
      <c r="K125" s="12">
        <f t="shared" si="9"/>
        <v>6930.333333333333</v>
      </c>
    </row>
    <row r="126" spans="1:11" x14ac:dyDescent="0.3">
      <c r="A126" s="7">
        <v>45663</v>
      </c>
      <c r="B126" s="7" t="str">
        <f t="shared" si="8"/>
        <v>Week 2</v>
      </c>
      <c r="C126" s="8" t="s">
        <v>12</v>
      </c>
      <c r="D126" s="9">
        <v>9980</v>
      </c>
      <c r="E126" s="9">
        <v>726</v>
      </c>
      <c r="F126" s="9">
        <v>781868</v>
      </c>
      <c r="G126" s="10">
        <v>4.0220344099003921E-2</v>
      </c>
      <c r="H126" s="11">
        <v>58709</v>
      </c>
      <c r="I126" s="12">
        <f t="shared" si="10"/>
        <v>9254</v>
      </c>
      <c r="J126" s="10">
        <f t="shared" si="11"/>
        <v>1.1835757442432739E-2</v>
      </c>
      <c r="K126" s="12">
        <f t="shared" si="9"/>
        <v>5223.333333333333</v>
      </c>
    </row>
    <row r="127" spans="1:11" x14ac:dyDescent="0.3">
      <c r="A127" s="7">
        <v>45663</v>
      </c>
      <c r="B127" s="7" t="str">
        <f t="shared" si="8"/>
        <v>Week 2</v>
      </c>
      <c r="C127" s="8" t="s">
        <v>10</v>
      </c>
      <c r="D127" s="9">
        <v>8451</v>
      </c>
      <c r="E127" s="9">
        <v>783</v>
      </c>
      <c r="F127" s="9">
        <v>789536</v>
      </c>
      <c r="G127" s="10">
        <v>0.1240728731812102</v>
      </c>
      <c r="H127" s="11">
        <v>36201</v>
      </c>
      <c r="I127" s="12">
        <f t="shared" si="10"/>
        <v>7668</v>
      </c>
      <c r="J127" s="10">
        <f t="shared" si="11"/>
        <v>9.7120333968305442E-3</v>
      </c>
      <c r="K127" s="12">
        <f t="shared" si="9"/>
        <v>6903.333333333333</v>
      </c>
    </row>
    <row r="128" spans="1:11" x14ac:dyDescent="0.3">
      <c r="A128" s="7">
        <v>45663</v>
      </c>
      <c r="B128" s="7" t="str">
        <f t="shared" si="8"/>
        <v>Week 2</v>
      </c>
      <c r="C128" s="8" t="s">
        <v>11</v>
      </c>
      <c r="D128" s="9">
        <v>9906</v>
      </c>
      <c r="E128" s="9">
        <v>1305</v>
      </c>
      <c r="F128" s="9">
        <v>798137</v>
      </c>
      <c r="G128" s="10">
        <v>9.1811305577864447E-2</v>
      </c>
      <c r="H128" s="11">
        <v>29715</v>
      </c>
      <c r="I128" s="12">
        <f t="shared" si="10"/>
        <v>8601</v>
      </c>
      <c r="J128" s="10">
        <f t="shared" si="11"/>
        <v>1.0776345414383746E-2</v>
      </c>
      <c r="K128" s="12">
        <f t="shared" si="9"/>
        <v>6667</v>
      </c>
    </row>
    <row r="129" spans="1:11" x14ac:dyDescent="0.3">
      <c r="A129" s="7">
        <v>45663</v>
      </c>
      <c r="B129" s="7" t="str">
        <f t="shared" si="8"/>
        <v>Week 2</v>
      </c>
      <c r="C129" s="8" t="s">
        <v>10</v>
      </c>
      <c r="D129" s="9">
        <v>1775</v>
      </c>
      <c r="E129" s="9">
        <v>241</v>
      </c>
      <c r="F129" s="9">
        <v>799671</v>
      </c>
      <c r="G129" s="10">
        <v>8.1379717408784358E-2</v>
      </c>
      <c r="H129" s="11">
        <v>39309</v>
      </c>
      <c r="I129" s="12">
        <f t="shared" si="10"/>
        <v>1534</v>
      </c>
      <c r="J129" s="10">
        <f t="shared" si="11"/>
        <v>1.918288896308607E-3</v>
      </c>
      <c r="K129" s="12">
        <f t="shared" si="9"/>
        <v>8507.6666666666661</v>
      </c>
    </row>
    <row r="130" spans="1:11" x14ac:dyDescent="0.3">
      <c r="A130" s="7">
        <v>45670</v>
      </c>
      <c r="B130" s="7" t="str">
        <f t="shared" si="8"/>
        <v>Week 3</v>
      </c>
      <c r="C130" s="8" t="s">
        <v>12</v>
      </c>
      <c r="D130" s="9">
        <v>7869</v>
      </c>
      <c r="E130" s="9">
        <v>398</v>
      </c>
      <c r="F130" s="9">
        <v>807142</v>
      </c>
      <c r="G130" s="10">
        <v>0.1521194535781808</v>
      </c>
      <c r="H130" s="11">
        <v>25078</v>
      </c>
      <c r="I130" s="12">
        <f t="shared" ref="I130:I161" si="12">D130-E130</f>
        <v>7471</v>
      </c>
      <c r="J130" s="10">
        <f t="shared" ref="J130:J161" si="13">I130/F130</f>
        <v>9.2561160241940079E-3</v>
      </c>
      <c r="K130" s="12">
        <f t="shared" si="9"/>
        <v>5934.333333333333</v>
      </c>
    </row>
    <row r="131" spans="1:11" x14ac:dyDescent="0.3">
      <c r="A131" s="7">
        <v>45670</v>
      </c>
      <c r="B131" s="7" t="str">
        <f t="shared" ref="B131:B194" si="14">"Week "&amp;WEEKNUM(A131)</f>
        <v>Week 3</v>
      </c>
      <c r="C131" s="8" t="s">
        <v>9</v>
      </c>
      <c r="D131" s="9">
        <v>3247</v>
      </c>
      <c r="E131" s="9">
        <v>328</v>
      </c>
      <c r="F131" s="9">
        <v>810061</v>
      </c>
      <c r="G131" s="10">
        <v>0.139411723314664</v>
      </c>
      <c r="H131" s="11">
        <v>15105</v>
      </c>
      <c r="I131" s="12">
        <f t="shared" si="12"/>
        <v>2919</v>
      </c>
      <c r="J131" s="10">
        <f t="shared" si="13"/>
        <v>3.6034323341081723E-3</v>
      </c>
      <c r="K131" s="12">
        <f t="shared" si="9"/>
        <v>5868.666666666667</v>
      </c>
    </row>
    <row r="132" spans="1:11" x14ac:dyDescent="0.3">
      <c r="A132" s="7">
        <v>45670</v>
      </c>
      <c r="B132" s="7" t="str">
        <f t="shared" si="14"/>
        <v>Week 3</v>
      </c>
      <c r="C132" s="8" t="s">
        <v>10</v>
      </c>
      <c r="D132" s="9">
        <v>8088</v>
      </c>
      <c r="E132" s="9">
        <v>742</v>
      </c>
      <c r="F132" s="9">
        <v>817407</v>
      </c>
      <c r="G132" s="10">
        <v>0.146645428776607</v>
      </c>
      <c r="H132" s="11">
        <v>39312</v>
      </c>
      <c r="I132" s="12">
        <f t="shared" si="12"/>
        <v>7346</v>
      </c>
      <c r="J132" s="10">
        <f t="shared" si="13"/>
        <v>8.9869550909155421E-3</v>
      </c>
      <c r="K132" s="12">
        <f t="shared" si="9"/>
        <v>3974.6666666666665</v>
      </c>
    </row>
    <row r="133" spans="1:11" x14ac:dyDescent="0.3">
      <c r="A133" s="7">
        <v>45670</v>
      </c>
      <c r="B133" s="7" t="str">
        <f t="shared" si="14"/>
        <v>Week 3</v>
      </c>
      <c r="C133" s="8" t="s">
        <v>11</v>
      </c>
      <c r="D133" s="9">
        <v>1078</v>
      </c>
      <c r="E133" s="9">
        <v>77</v>
      </c>
      <c r="F133" s="9">
        <v>818408</v>
      </c>
      <c r="G133" s="10">
        <v>0.18236747441373991</v>
      </c>
      <c r="H133" s="11">
        <v>12839</v>
      </c>
      <c r="I133" s="12">
        <f t="shared" si="12"/>
        <v>1001</v>
      </c>
      <c r="J133" s="10">
        <f t="shared" si="13"/>
        <v>1.2231063234963489E-3</v>
      </c>
      <c r="K133" s="12">
        <f t="shared" si="9"/>
        <v>5912</v>
      </c>
    </row>
    <row r="134" spans="1:11" x14ac:dyDescent="0.3">
      <c r="A134" s="7">
        <v>45677</v>
      </c>
      <c r="B134" s="7" t="str">
        <f t="shared" si="14"/>
        <v>Week 4</v>
      </c>
      <c r="C134" s="8" t="s">
        <v>10</v>
      </c>
      <c r="D134" s="9">
        <v>9080</v>
      </c>
      <c r="E134" s="9">
        <v>562</v>
      </c>
      <c r="F134" s="9">
        <v>826926</v>
      </c>
      <c r="G134" s="10">
        <v>7.1083748727213805E-2</v>
      </c>
      <c r="H134" s="11">
        <v>13384</v>
      </c>
      <c r="I134" s="12">
        <f t="shared" si="12"/>
        <v>8518</v>
      </c>
      <c r="J134" s="10">
        <f t="shared" si="13"/>
        <v>1.0300800797169276E-2</v>
      </c>
      <c r="K134" s="12">
        <f t="shared" si="9"/>
        <v>3755.3333333333335</v>
      </c>
    </row>
    <row r="135" spans="1:11" x14ac:dyDescent="0.3">
      <c r="A135" s="7">
        <v>45677</v>
      </c>
      <c r="B135" s="7" t="str">
        <f t="shared" si="14"/>
        <v>Week 4</v>
      </c>
      <c r="C135" s="8" t="s">
        <v>10</v>
      </c>
      <c r="D135" s="9">
        <v>8099</v>
      </c>
      <c r="E135" s="9">
        <v>678</v>
      </c>
      <c r="F135" s="9">
        <v>834347</v>
      </c>
      <c r="G135" s="10">
        <v>7.6464588474579515E-2</v>
      </c>
      <c r="H135" s="11">
        <v>53619</v>
      </c>
      <c r="I135" s="12">
        <f t="shared" si="12"/>
        <v>7421</v>
      </c>
      <c r="J135" s="10">
        <f t="shared" si="13"/>
        <v>8.8943808751035247E-3</v>
      </c>
      <c r="K135" s="12">
        <f t="shared" si="9"/>
        <v>5621.666666666667</v>
      </c>
    </row>
    <row r="136" spans="1:11" x14ac:dyDescent="0.3">
      <c r="A136" s="7">
        <v>45677</v>
      </c>
      <c r="B136" s="7" t="str">
        <f t="shared" si="14"/>
        <v>Week 4</v>
      </c>
      <c r="C136" s="8" t="s">
        <v>10</v>
      </c>
      <c r="D136" s="9">
        <v>4926</v>
      </c>
      <c r="E136" s="9">
        <v>710</v>
      </c>
      <c r="F136" s="9">
        <v>838563</v>
      </c>
      <c r="G136" s="10">
        <v>0.12962174577223182</v>
      </c>
      <c r="H136" s="11">
        <v>52821</v>
      </c>
      <c r="I136" s="12">
        <f t="shared" si="12"/>
        <v>4216</v>
      </c>
      <c r="J136" s="10">
        <f t="shared" si="13"/>
        <v>5.0276484891415433E-3</v>
      </c>
      <c r="K136" s="12">
        <f t="shared" ref="K136:K199" si="15">AVERAGE(I133:I135)</f>
        <v>5646.666666666667</v>
      </c>
    </row>
    <row r="137" spans="1:11" x14ac:dyDescent="0.3">
      <c r="A137" s="7">
        <v>45677</v>
      </c>
      <c r="B137" s="7" t="str">
        <f t="shared" si="14"/>
        <v>Week 4</v>
      </c>
      <c r="C137" s="8" t="s">
        <v>11</v>
      </c>
      <c r="D137" s="9">
        <v>8340</v>
      </c>
      <c r="E137" s="9">
        <v>686</v>
      </c>
      <c r="F137" s="9">
        <v>846217</v>
      </c>
      <c r="G137" s="10">
        <v>7.2013443360272836E-2</v>
      </c>
      <c r="H137" s="11">
        <v>23493</v>
      </c>
      <c r="I137" s="12">
        <f t="shared" si="12"/>
        <v>7654</v>
      </c>
      <c r="J137" s="10">
        <f t="shared" si="13"/>
        <v>9.0449612806171465E-3</v>
      </c>
      <c r="K137" s="12">
        <f t="shared" si="15"/>
        <v>6718.333333333333</v>
      </c>
    </row>
    <row r="138" spans="1:11" x14ac:dyDescent="0.3">
      <c r="A138" s="7">
        <v>45684</v>
      </c>
      <c r="B138" s="7" t="str">
        <f t="shared" si="14"/>
        <v>Week 5</v>
      </c>
      <c r="C138" s="8" t="s">
        <v>12</v>
      </c>
      <c r="D138" s="9">
        <v>8083</v>
      </c>
      <c r="E138" s="9">
        <v>823</v>
      </c>
      <c r="F138" s="9">
        <v>853477</v>
      </c>
      <c r="G138" s="10">
        <v>4.6300017457998284E-2</v>
      </c>
      <c r="H138" s="11">
        <v>27069</v>
      </c>
      <c r="I138" s="12">
        <f t="shared" si="12"/>
        <v>7260</v>
      </c>
      <c r="J138" s="10">
        <f t="shared" si="13"/>
        <v>8.5063803711172073E-3</v>
      </c>
      <c r="K138" s="12">
        <f t="shared" si="15"/>
        <v>6430.333333333333</v>
      </c>
    </row>
    <row r="139" spans="1:11" x14ac:dyDescent="0.3">
      <c r="A139" s="7">
        <v>45684</v>
      </c>
      <c r="B139" s="7" t="str">
        <f t="shared" si="14"/>
        <v>Week 5</v>
      </c>
      <c r="C139" s="8" t="s">
        <v>10</v>
      </c>
      <c r="D139" s="9">
        <v>7230</v>
      </c>
      <c r="E139" s="9">
        <v>869</v>
      </c>
      <c r="F139" s="9">
        <v>859838</v>
      </c>
      <c r="G139" s="10">
        <v>7.0117859410726208E-2</v>
      </c>
      <c r="H139" s="11">
        <v>56907</v>
      </c>
      <c r="I139" s="12">
        <f t="shared" si="12"/>
        <v>6361</v>
      </c>
      <c r="J139" s="10">
        <f t="shared" si="13"/>
        <v>7.397905186791E-3</v>
      </c>
      <c r="K139" s="12">
        <f t="shared" si="15"/>
        <v>6376.666666666667</v>
      </c>
    </row>
    <row r="140" spans="1:11" x14ac:dyDescent="0.3">
      <c r="A140" s="7">
        <v>45684</v>
      </c>
      <c r="B140" s="7" t="str">
        <f t="shared" si="14"/>
        <v>Week 5</v>
      </c>
      <c r="C140" s="8" t="s">
        <v>10</v>
      </c>
      <c r="D140" s="9">
        <v>5940</v>
      </c>
      <c r="E140" s="9">
        <v>512</v>
      </c>
      <c r="F140" s="9">
        <v>865266</v>
      </c>
      <c r="G140" s="10">
        <v>0.157972230504839</v>
      </c>
      <c r="H140" s="11">
        <v>17531</v>
      </c>
      <c r="I140" s="12">
        <f t="shared" si="12"/>
        <v>5428</v>
      </c>
      <c r="J140" s="10">
        <f t="shared" si="13"/>
        <v>6.2732154042803023E-3</v>
      </c>
      <c r="K140" s="12">
        <f t="shared" si="15"/>
        <v>7091.666666666667</v>
      </c>
    </row>
    <row r="141" spans="1:11" x14ac:dyDescent="0.3">
      <c r="A141" s="7">
        <v>45684</v>
      </c>
      <c r="B141" s="7" t="str">
        <f t="shared" si="14"/>
        <v>Week 5</v>
      </c>
      <c r="C141" s="8" t="s">
        <v>9</v>
      </c>
      <c r="D141" s="9">
        <v>4271</v>
      </c>
      <c r="E141" s="9">
        <v>628</v>
      </c>
      <c r="F141" s="9">
        <v>868909</v>
      </c>
      <c r="G141" s="10">
        <v>0.11124410036033691</v>
      </c>
      <c r="H141" s="11">
        <v>47051</v>
      </c>
      <c r="I141" s="12">
        <f t="shared" si="12"/>
        <v>3643</v>
      </c>
      <c r="J141" s="10">
        <f t="shared" si="13"/>
        <v>4.1926139561219876E-3</v>
      </c>
      <c r="K141" s="12">
        <f t="shared" si="15"/>
        <v>6349.666666666667</v>
      </c>
    </row>
    <row r="142" spans="1:11" x14ac:dyDescent="0.3">
      <c r="A142" s="7">
        <v>45691</v>
      </c>
      <c r="B142" s="7" t="str">
        <f t="shared" si="14"/>
        <v>Week 6</v>
      </c>
      <c r="C142" s="8" t="s">
        <v>11</v>
      </c>
      <c r="D142" s="9">
        <v>4456</v>
      </c>
      <c r="E142" s="9">
        <v>651</v>
      </c>
      <c r="F142" s="9">
        <v>872714</v>
      </c>
      <c r="G142" s="10">
        <v>9.5052903929580601E-2</v>
      </c>
      <c r="H142" s="11">
        <v>17736</v>
      </c>
      <c r="I142" s="12">
        <f t="shared" si="12"/>
        <v>3805</v>
      </c>
      <c r="J142" s="10">
        <f t="shared" si="13"/>
        <v>4.3599621410908961E-3</v>
      </c>
      <c r="K142" s="12">
        <f t="shared" si="15"/>
        <v>5144</v>
      </c>
    </row>
    <row r="143" spans="1:11" x14ac:dyDescent="0.3">
      <c r="A143" s="7">
        <v>45691</v>
      </c>
      <c r="B143" s="7" t="str">
        <f t="shared" si="14"/>
        <v>Week 6</v>
      </c>
      <c r="C143" s="8" t="s">
        <v>10</v>
      </c>
      <c r="D143" s="9">
        <v>8788</v>
      </c>
      <c r="E143" s="9">
        <v>660</v>
      </c>
      <c r="F143" s="9">
        <v>880842</v>
      </c>
      <c r="G143" s="10">
        <v>3.7175793161543159E-2</v>
      </c>
      <c r="H143" s="11">
        <v>17710</v>
      </c>
      <c r="I143" s="12">
        <f t="shared" si="12"/>
        <v>8128</v>
      </c>
      <c r="J143" s="10">
        <f t="shared" si="13"/>
        <v>9.2275345635199051E-3</v>
      </c>
      <c r="K143" s="12">
        <f t="shared" si="15"/>
        <v>4292</v>
      </c>
    </row>
    <row r="144" spans="1:11" x14ac:dyDescent="0.3">
      <c r="A144" s="7">
        <v>45691</v>
      </c>
      <c r="B144" s="7" t="str">
        <f t="shared" si="14"/>
        <v>Week 6</v>
      </c>
      <c r="C144" s="8" t="s">
        <v>11</v>
      </c>
      <c r="D144" s="9">
        <v>9599</v>
      </c>
      <c r="E144" s="9">
        <v>957</v>
      </c>
      <c r="F144" s="9">
        <v>889484</v>
      </c>
      <c r="G144" s="10">
        <v>8.7680048207724931E-2</v>
      </c>
      <c r="H144" s="11">
        <v>11619</v>
      </c>
      <c r="I144" s="12">
        <f t="shared" si="12"/>
        <v>8642</v>
      </c>
      <c r="J144" s="10">
        <f t="shared" si="13"/>
        <v>9.7157453085159485E-3</v>
      </c>
      <c r="K144" s="12">
        <f t="shared" si="15"/>
        <v>5192</v>
      </c>
    </row>
    <row r="145" spans="1:11" x14ac:dyDescent="0.3">
      <c r="A145" s="7">
        <v>45691</v>
      </c>
      <c r="B145" s="7" t="str">
        <f t="shared" si="14"/>
        <v>Week 6</v>
      </c>
      <c r="C145" s="8" t="s">
        <v>10</v>
      </c>
      <c r="D145" s="9">
        <v>8650</v>
      </c>
      <c r="E145" s="9">
        <v>692</v>
      </c>
      <c r="F145" s="9">
        <v>897442</v>
      </c>
      <c r="G145" s="10">
        <v>7.6673478620345376E-2</v>
      </c>
      <c r="H145" s="11">
        <v>23975</v>
      </c>
      <c r="I145" s="12">
        <f t="shared" si="12"/>
        <v>7958</v>
      </c>
      <c r="J145" s="10">
        <f t="shared" si="13"/>
        <v>8.8674254157928862E-3</v>
      </c>
      <c r="K145" s="12">
        <f t="shared" si="15"/>
        <v>6858.333333333333</v>
      </c>
    </row>
    <row r="146" spans="1:11" x14ac:dyDescent="0.3">
      <c r="A146" s="7">
        <v>45698</v>
      </c>
      <c r="B146" s="7" t="str">
        <f t="shared" si="14"/>
        <v>Week 7</v>
      </c>
      <c r="C146" s="8" t="s">
        <v>12</v>
      </c>
      <c r="D146" s="9">
        <v>3711</v>
      </c>
      <c r="E146" s="9">
        <v>291</v>
      </c>
      <c r="F146" s="9">
        <v>900862</v>
      </c>
      <c r="G146" s="10">
        <v>0.14248797263065818</v>
      </c>
      <c r="H146" s="11">
        <v>55603</v>
      </c>
      <c r="I146" s="12">
        <f t="shared" si="12"/>
        <v>3420</v>
      </c>
      <c r="J146" s="10">
        <f t="shared" si="13"/>
        <v>3.7963639269943676E-3</v>
      </c>
      <c r="K146" s="12">
        <f t="shared" si="15"/>
        <v>8242.6666666666661</v>
      </c>
    </row>
    <row r="147" spans="1:11" x14ac:dyDescent="0.3">
      <c r="A147" s="7">
        <v>45698</v>
      </c>
      <c r="B147" s="7" t="str">
        <f t="shared" si="14"/>
        <v>Week 7</v>
      </c>
      <c r="C147" s="8" t="s">
        <v>12</v>
      </c>
      <c r="D147" s="9">
        <v>2668</v>
      </c>
      <c r="E147" s="9">
        <v>143</v>
      </c>
      <c r="F147" s="9">
        <v>903387</v>
      </c>
      <c r="G147" s="10">
        <v>0.15903372530266649</v>
      </c>
      <c r="H147" s="11">
        <v>33252</v>
      </c>
      <c r="I147" s="12">
        <f t="shared" si="12"/>
        <v>2525</v>
      </c>
      <c r="J147" s="10">
        <f t="shared" si="13"/>
        <v>2.795036900021807E-3</v>
      </c>
      <c r="K147" s="12">
        <f t="shared" si="15"/>
        <v>6673.333333333333</v>
      </c>
    </row>
    <row r="148" spans="1:11" x14ac:dyDescent="0.3">
      <c r="A148" s="7">
        <v>45698</v>
      </c>
      <c r="B148" s="7" t="str">
        <f t="shared" si="14"/>
        <v>Week 7</v>
      </c>
      <c r="C148" s="8" t="s">
        <v>10</v>
      </c>
      <c r="D148" s="9">
        <v>1147</v>
      </c>
      <c r="E148" s="9">
        <v>127</v>
      </c>
      <c r="F148" s="9">
        <v>904407</v>
      </c>
      <c r="G148" s="10">
        <v>1.3997016829812241E-2</v>
      </c>
      <c r="H148" s="11">
        <v>25261</v>
      </c>
      <c r="I148" s="12">
        <f t="shared" si="12"/>
        <v>1020</v>
      </c>
      <c r="J148" s="10">
        <f t="shared" si="13"/>
        <v>1.1278108196862695E-3</v>
      </c>
      <c r="K148" s="12">
        <f t="shared" si="15"/>
        <v>4634.333333333333</v>
      </c>
    </row>
    <row r="149" spans="1:11" x14ac:dyDescent="0.3">
      <c r="A149" s="7">
        <v>45698</v>
      </c>
      <c r="B149" s="7" t="str">
        <f t="shared" si="14"/>
        <v>Week 7</v>
      </c>
      <c r="C149" s="8" t="s">
        <v>12</v>
      </c>
      <c r="D149" s="9">
        <v>7420</v>
      </c>
      <c r="E149" s="9">
        <v>743</v>
      </c>
      <c r="F149" s="9">
        <v>911084</v>
      </c>
      <c r="G149" s="10">
        <v>0.1059353473444819</v>
      </c>
      <c r="H149" s="11">
        <v>11431</v>
      </c>
      <c r="I149" s="12">
        <f t="shared" si="12"/>
        <v>6677</v>
      </c>
      <c r="J149" s="10">
        <f t="shared" si="13"/>
        <v>7.3286327056561193E-3</v>
      </c>
      <c r="K149" s="12">
        <f t="shared" si="15"/>
        <v>2321.6666666666665</v>
      </c>
    </row>
    <row r="150" spans="1:11" x14ac:dyDescent="0.3">
      <c r="A150" s="7">
        <v>45705</v>
      </c>
      <c r="B150" s="7" t="str">
        <f t="shared" si="14"/>
        <v>Week 8</v>
      </c>
      <c r="C150" s="8" t="s">
        <v>10</v>
      </c>
      <c r="D150" s="9">
        <v>1365</v>
      </c>
      <c r="E150" s="9">
        <v>75</v>
      </c>
      <c r="F150" s="9">
        <v>912374</v>
      </c>
      <c r="G150" s="10">
        <v>9.2688963078737446E-2</v>
      </c>
      <c r="H150" s="11">
        <v>19067</v>
      </c>
      <c r="I150" s="12">
        <f t="shared" si="12"/>
        <v>1290</v>
      </c>
      <c r="J150" s="10">
        <f t="shared" si="13"/>
        <v>1.4138938637006315E-3</v>
      </c>
      <c r="K150" s="12">
        <f t="shared" si="15"/>
        <v>3407.3333333333335</v>
      </c>
    </row>
    <row r="151" spans="1:11" x14ac:dyDescent="0.3">
      <c r="A151" s="7">
        <v>45705</v>
      </c>
      <c r="B151" s="7" t="str">
        <f t="shared" si="14"/>
        <v>Week 8</v>
      </c>
      <c r="C151" s="8" t="s">
        <v>12</v>
      </c>
      <c r="D151" s="9">
        <v>5531</v>
      </c>
      <c r="E151" s="9">
        <v>430</v>
      </c>
      <c r="F151" s="9">
        <v>917475</v>
      </c>
      <c r="G151" s="10">
        <v>2.728902694896319E-2</v>
      </c>
      <c r="H151" s="11">
        <v>47481</v>
      </c>
      <c r="I151" s="12">
        <f t="shared" si="12"/>
        <v>5101</v>
      </c>
      <c r="J151" s="10">
        <f t="shared" si="13"/>
        <v>5.5598245183792472E-3</v>
      </c>
      <c r="K151" s="12">
        <f t="shared" si="15"/>
        <v>2995.6666666666665</v>
      </c>
    </row>
    <row r="152" spans="1:11" x14ac:dyDescent="0.3">
      <c r="A152" s="7">
        <v>45705</v>
      </c>
      <c r="B152" s="7" t="str">
        <f t="shared" si="14"/>
        <v>Week 8</v>
      </c>
      <c r="C152" s="8" t="s">
        <v>9</v>
      </c>
      <c r="D152" s="9">
        <v>6330</v>
      </c>
      <c r="E152" s="9">
        <v>891</v>
      </c>
      <c r="F152" s="9">
        <v>922914</v>
      </c>
      <c r="G152" s="10">
        <v>0.14789893749580141</v>
      </c>
      <c r="H152" s="11">
        <v>37037</v>
      </c>
      <c r="I152" s="12">
        <f t="shared" si="12"/>
        <v>5439</v>
      </c>
      <c r="J152" s="10">
        <f t="shared" si="13"/>
        <v>5.8932901657142486E-3</v>
      </c>
      <c r="K152" s="12">
        <f t="shared" si="15"/>
        <v>4356</v>
      </c>
    </row>
    <row r="153" spans="1:11" x14ac:dyDescent="0.3">
      <c r="A153" s="7">
        <v>45705</v>
      </c>
      <c r="B153" s="7" t="str">
        <f t="shared" si="14"/>
        <v>Week 8</v>
      </c>
      <c r="C153" s="8" t="s">
        <v>9</v>
      </c>
      <c r="D153" s="9">
        <v>6510</v>
      </c>
      <c r="E153" s="9">
        <v>481</v>
      </c>
      <c r="F153" s="9">
        <v>928943</v>
      </c>
      <c r="G153" s="10">
        <v>2.3800168578696428E-2</v>
      </c>
      <c r="H153" s="11">
        <v>19557</v>
      </c>
      <c r="I153" s="12">
        <f t="shared" si="12"/>
        <v>6029</v>
      </c>
      <c r="J153" s="10">
        <f t="shared" si="13"/>
        <v>6.4901721634158397E-3</v>
      </c>
      <c r="K153" s="12">
        <f t="shared" si="15"/>
        <v>3943.3333333333335</v>
      </c>
    </row>
    <row r="154" spans="1:11" x14ac:dyDescent="0.3">
      <c r="A154" s="7">
        <v>45712</v>
      </c>
      <c r="B154" s="7" t="str">
        <f t="shared" si="14"/>
        <v>Week 9</v>
      </c>
      <c r="C154" s="8" t="s">
        <v>9</v>
      </c>
      <c r="D154" s="9">
        <v>9754</v>
      </c>
      <c r="E154" s="9">
        <v>629</v>
      </c>
      <c r="F154" s="9">
        <v>938068</v>
      </c>
      <c r="G154" s="10">
        <v>3.4123325814333291E-2</v>
      </c>
      <c r="H154" s="11">
        <v>19435</v>
      </c>
      <c r="I154" s="12">
        <f t="shared" si="12"/>
        <v>9125</v>
      </c>
      <c r="J154" s="10">
        <f t="shared" si="13"/>
        <v>9.7274398018054129E-3</v>
      </c>
      <c r="K154" s="12">
        <f t="shared" si="15"/>
        <v>5523</v>
      </c>
    </row>
    <row r="155" spans="1:11" x14ac:dyDescent="0.3">
      <c r="A155" s="7">
        <v>45712</v>
      </c>
      <c r="B155" s="7" t="str">
        <f t="shared" si="14"/>
        <v>Week 9</v>
      </c>
      <c r="C155" s="8" t="s">
        <v>11</v>
      </c>
      <c r="D155" s="9">
        <v>9964</v>
      </c>
      <c r="E155" s="9">
        <v>985</v>
      </c>
      <c r="F155" s="9">
        <v>947047</v>
      </c>
      <c r="G155" s="10">
        <v>1.9837452629066988E-2</v>
      </c>
      <c r="H155" s="11">
        <v>47766</v>
      </c>
      <c r="I155" s="12">
        <f t="shared" si="12"/>
        <v>8979</v>
      </c>
      <c r="J155" s="10">
        <f t="shared" si="13"/>
        <v>9.4810500429228957E-3</v>
      </c>
      <c r="K155" s="12">
        <f t="shared" si="15"/>
        <v>6864.333333333333</v>
      </c>
    </row>
    <row r="156" spans="1:11" x14ac:dyDescent="0.3">
      <c r="A156" s="7">
        <v>45712</v>
      </c>
      <c r="B156" s="7" t="str">
        <f t="shared" si="14"/>
        <v>Week 9</v>
      </c>
      <c r="C156" s="8" t="s">
        <v>11</v>
      </c>
      <c r="D156" s="9">
        <v>7493</v>
      </c>
      <c r="E156" s="9">
        <v>1113</v>
      </c>
      <c r="F156" s="9">
        <v>953427</v>
      </c>
      <c r="G156" s="10">
        <v>0.15684892498324468</v>
      </c>
      <c r="H156" s="11">
        <v>10162</v>
      </c>
      <c r="I156" s="12">
        <f t="shared" si="12"/>
        <v>6380</v>
      </c>
      <c r="J156" s="10">
        <f t="shared" si="13"/>
        <v>6.6916502259743013E-3</v>
      </c>
      <c r="K156" s="12">
        <f t="shared" si="15"/>
        <v>8044.333333333333</v>
      </c>
    </row>
    <row r="157" spans="1:11" x14ac:dyDescent="0.3">
      <c r="A157" s="7">
        <v>45712</v>
      </c>
      <c r="B157" s="7" t="str">
        <f t="shared" si="14"/>
        <v>Week 9</v>
      </c>
      <c r="C157" s="8" t="s">
        <v>9</v>
      </c>
      <c r="D157" s="9">
        <v>6439</v>
      </c>
      <c r="E157" s="9">
        <v>477</v>
      </c>
      <c r="F157" s="9">
        <v>959389</v>
      </c>
      <c r="G157" s="10">
        <v>7.474444672598915E-2</v>
      </c>
      <c r="H157" s="11">
        <v>44742</v>
      </c>
      <c r="I157" s="12">
        <f t="shared" si="12"/>
        <v>5962</v>
      </c>
      <c r="J157" s="10">
        <f t="shared" si="13"/>
        <v>6.2143718554204808E-3</v>
      </c>
      <c r="K157" s="12">
        <f t="shared" si="15"/>
        <v>8161.333333333333</v>
      </c>
    </row>
    <row r="158" spans="1:11" x14ac:dyDescent="0.3">
      <c r="A158" s="7">
        <v>45719</v>
      </c>
      <c r="B158" s="7" t="str">
        <f t="shared" si="14"/>
        <v>Week 10</v>
      </c>
      <c r="C158" s="8" t="s">
        <v>11</v>
      </c>
      <c r="D158" s="9">
        <v>7511</v>
      </c>
      <c r="E158" s="9">
        <v>880</v>
      </c>
      <c r="F158" s="9">
        <v>966020</v>
      </c>
      <c r="G158" s="10">
        <v>4.6083932009689244E-2</v>
      </c>
      <c r="H158" s="11">
        <v>29675</v>
      </c>
      <c r="I158" s="12">
        <f t="shared" si="12"/>
        <v>6631</v>
      </c>
      <c r="J158" s="10">
        <f t="shared" si="13"/>
        <v>6.8642471170369144E-3</v>
      </c>
      <c r="K158" s="12">
        <f t="shared" si="15"/>
        <v>7107</v>
      </c>
    </row>
    <row r="159" spans="1:11" x14ac:dyDescent="0.3">
      <c r="A159" s="7">
        <v>45719</v>
      </c>
      <c r="B159" s="7" t="str">
        <f t="shared" si="14"/>
        <v>Week 10</v>
      </c>
      <c r="C159" s="8" t="s">
        <v>12</v>
      </c>
      <c r="D159" s="9">
        <v>8504</v>
      </c>
      <c r="E159" s="9">
        <v>1072</v>
      </c>
      <c r="F159" s="9">
        <v>973452</v>
      </c>
      <c r="G159" s="10">
        <v>6.5651927367759266E-2</v>
      </c>
      <c r="H159" s="11">
        <v>18461</v>
      </c>
      <c r="I159" s="12">
        <f t="shared" si="12"/>
        <v>7432</v>
      </c>
      <c r="J159" s="10">
        <f t="shared" si="13"/>
        <v>7.6346856342171983E-3</v>
      </c>
      <c r="K159" s="12">
        <f t="shared" si="15"/>
        <v>6324.333333333333</v>
      </c>
    </row>
    <row r="160" spans="1:11" x14ac:dyDescent="0.3">
      <c r="A160" s="7">
        <v>45719</v>
      </c>
      <c r="B160" s="7" t="str">
        <f t="shared" si="14"/>
        <v>Week 10</v>
      </c>
      <c r="C160" s="8" t="s">
        <v>10</v>
      </c>
      <c r="D160" s="9">
        <v>2246</v>
      </c>
      <c r="E160" s="9">
        <v>165</v>
      </c>
      <c r="F160" s="9">
        <v>975533</v>
      </c>
      <c r="G160" s="10">
        <v>2.9062061457685192E-2</v>
      </c>
      <c r="H160" s="11">
        <v>27015</v>
      </c>
      <c r="I160" s="12">
        <f t="shared" si="12"/>
        <v>2081</v>
      </c>
      <c r="J160" s="10">
        <f t="shared" si="13"/>
        <v>2.1331928289458173E-3</v>
      </c>
      <c r="K160" s="12">
        <f t="shared" si="15"/>
        <v>6675</v>
      </c>
    </row>
    <row r="161" spans="1:11" x14ac:dyDescent="0.3">
      <c r="A161" s="7">
        <v>45719</v>
      </c>
      <c r="B161" s="7" t="str">
        <f t="shared" si="14"/>
        <v>Week 10</v>
      </c>
      <c r="C161" s="8" t="s">
        <v>10</v>
      </c>
      <c r="D161" s="9">
        <v>4839</v>
      </c>
      <c r="E161" s="9">
        <v>594</v>
      </c>
      <c r="F161" s="9">
        <v>979778</v>
      </c>
      <c r="G161" s="10">
        <v>2.5803804535313103E-2</v>
      </c>
      <c r="H161" s="11">
        <v>42591</v>
      </c>
      <c r="I161" s="12">
        <f t="shared" si="12"/>
        <v>4245</v>
      </c>
      <c r="J161" s="10">
        <f t="shared" si="13"/>
        <v>4.3326141227910814E-3</v>
      </c>
      <c r="K161" s="12">
        <f t="shared" si="15"/>
        <v>5381.333333333333</v>
      </c>
    </row>
    <row r="162" spans="1:11" x14ac:dyDescent="0.3">
      <c r="A162" s="7">
        <v>45726</v>
      </c>
      <c r="B162" s="7" t="str">
        <f t="shared" si="14"/>
        <v>Week 11</v>
      </c>
      <c r="C162" s="8" t="s">
        <v>10</v>
      </c>
      <c r="D162" s="9">
        <v>9551</v>
      </c>
      <c r="E162" s="9">
        <v>828</v>
      </c>
      <c r="F162" s="9">
        <v>988501</v>
      </c>
      <c r="G162" s="10">
        <v>1.5250363934887269E-2</v>
      </c>
      <c r="H162" s="11">
        <v>38047</v>
      </c>
      <c r="I162" s="12">
        <f t="shared" ref="I162:I193" si="16">D162-E162</f>
        <v>8723</v>
      </c>
      <c r="J162" s="10">
        <f t="shared" ref="J162:J193" si="17">I162/F162</f>
        <v>8.8244726105487E-3</v>
      </c>
      <c r="K162" s="12">
        <f t="shared" si="15"/>
        <v>4586</v>
      </c>
    </row>
    <row r="163" spans="1:11" x14ac:dyDescent="0.3">
      <c r="A163" s="7">
        <v>45726</v>
      </c>
      <c r="B163" s="7" t="str">
        <f t="shared" si="14"/>
        <v>Week 11</v>
      </c>
      <c r="C163" s="8" t="s">
        <v>9</v>
      </c>
      <c r="D163" s="9">
        <v>3376</v>
      </c>
      <c r="E163" s="9">
        <v>382</v>
      </c>
      <c r="F163" s="9">
        <v>991495</v>
      </c>
      <c r="G163" s="10">
        <v>3.8694093263203548E-2</v>
      </c>
      <c r="H163" s="11">
        <v>44782</v>
      </c>
      <c r="I163" s="12">
        <f t="shared" si="16"/>
        <v>2994</v>
      </c>
      <c r="J163" s="10">
        <f t="shared" si="17"/>
        <v>3.0196823988018094E-3</v>
      </c>
      <c r="K163" s="12">
        <f t="shared" si="15"/>
        <v>5016.333333333333</v>
      </c>
    </row>
    <row r="164" spans="1:11" x14ac:dyDescent="0.3">
      <c r="A164" s="7">
        <v>45726</v>
      </c>
      <c r="B164" s="7" t="str">
        <f t="shared" si="14"/>
        <v>Week 11</v>
      </c>
      <c r="C164" s="8" t="s">
        <v>11</v>
      </c>
      <c r="D164" s="9">
        <v>4009</v>
      </c>
      <c r="E164" s="9">
        <v>454</v>
      </c>
      <c r="F164" s="9">
        <v>995050</v>
      </c>
      <c r="G164" s="10">
        <v>2.1106477061454201E-2</v>
      </c>
      <c r="H164" s="11">
        <v>19833</v>
      </c>
      <c r="I164" s="12">
        <f t="shared" si="16"/>
        <v>3555</v>
      </c>
      <c r="J164" s="10">
        <f t="shared" si="17"/>
        <v>3.5726847897090599E-3</v>
      </c>
      <c r="K164" s="12">
        <f t="shared" si="15"/>
        <v>5320.666666666667</v>
      </c>
    </row>
    <row r="165" spans="1:11" x14ac:dyDescent="0.3">
      <c r="A165" s="7">
        <v>45726</v>
      </c>
      <c r="B165" s="7" t="str">
        <f t="shared" si="14"/>
        <v>Week 11</v>
      </c>
      <c r="C165" s="8" t="s">
        <v>12</v>
      </c>
      <c r="D165" s="9">
        <v>2827</v>
      </c>
      <c r="E165" s="9">
        <v>292</v>
      </c>
      <c r="F165" s="9">
        <v>997585</v>
      </c>
      <c r="G165" s="10">
        <v>2.400497200739787E-2</v>
      </c>
      <c r="H165" s="11">
        <v>17896</v>
      </c>
      <c r="I165" s="12">
        <f t="shared" si="16"/>
        <v>2535</v>
      </c>
      <c r="J165" s="10">
        <f t="shared" si="17"/>
        <v>2.5411368454818384E-3</v>
      </c>
      <c r="K165" s="12">
        <f t="shared" si="15"/>
        <v>5090.666666666667</v>
      </c>
    </row>
    <row r="166" spans="1:11" x14ac:dyDescent="0.3">
      <c r="A166" s="7">
        <v>45733</v>
      </c>
      <c r="B166" s="7" t="str">
        <f t="shared" si="14"/>
        <v>Week 12</v>
      </c>
      <c r="C166" s="8" t="s">
        <v>12</v>
      </c>
      <c r="D166" s="9">
        <v>7979</v>
      </c>
      <c r="E166" s="9">
        <v>470</v>
      </c>
      <c r="F166" s="9">
        <v>1005094</v>
      </c>
      <c r="G166" s="10">
        <v>0.1043086517280971</v>
      </c>
      <c r="H166" s="11">
        <v>42972</v>
      </c>
      <c r="I166" s="12">
        <f t="shared" si="16"/>
        <v>7509</v>
      </c>
      <c r="J166" s="10">
        <f t="shared" si="17"/>
        <v>7.4709430162750948E-3</v>
      </c>
      <c r="K166" s="12">
        <f t="shared" si="15"/>
        <v>3028</v>
      </c>
    </row>
    <row r="167" spans="1:11" x14ac:dyDescent="0.3">
      <c r="A167" s="7">
        <v>45733</v>
      </c>
      <c r="B167" s="7" t="str">
        <f t="shared" si="14"/>
        <v>Week 12</v>
      </c>
      <c r="C167" s="8" t="s">
        <v>9</v>
      </c>
      <c r="D167" s="9">
        <v>9569</v>
      </c>
      <c r="E167" s="9">
        <v>1277</v>
      </c>
      <c r="F167" s="9">
        <v>1013386</v>
      </c>
      <c r="G167" s="10">
        <v>0.1245517502708741</v>
      </c>
      <c r="H167" s="11">
        <v>59733</v>
      </c>
      <c r="I167" s="12">
        <f t="shared" si="16"/>
        <v>8292</v>
      </c>
      <c r="J167" s="10">
        <f t="shared" si="17"/>
        <v>8.1824694637581338E-3</v>
      </c>
      <c r="K167" s="12">
        <f t="shared" si="15"/>
        <v>4533</v>
      </c>
    </row>
    <row r="168" spans="1:11" x14ac:dyDescent="0.3">
      <c r="A168" s="7">
        <v>45733</v>
      </c>
      <c r="B168" s="7" t="str">
        <f t="shared" si="14"/>
        <v>Week 12</v>
      </c>
      <c r="C168" s="8" t="s">
        <v>12</v>
      </c>
      <c r="D168" s="9">
        <v>5285</v>
      </c>
      <c r="E168" s="9">
        <v>433</v>
      </c>
      <c r="F168" s="9">
        <v>1018238</v>
      </c>
      <c r="G168" s="10">
        <v>8.7022876773406616E-2</v>
      </c>
      <c r="H168" s="11">
        <v>51800</v>
      </c>
      <c r="I168" s="12">
        <f t="shared" si="16"/>
        <v>4852</v>
      </c>
      <c r="J168" s="10">
        <f t="shared" si="17"/>
        <v>4.7650942117658151E-3</v>
      </c>
      <c r="K168" s="12">
        <f t="shared" si="15"/>
        <v>6112</v>
      </c>
    </row>
    <row r="169" spans="1:11" x14ac:dyDescent="0.3">
      <c r="A169" s="7">
        <v>45733</v>
      </c>
      <c r="B169" s="7" t="str">
        <f t="shared" si="14"/>
        <v>Week 12</v>
      </c>
      <c r="C169" s="8" t="s">
        <v>12</v>
      </c>
      <c r="D169" s="9">
        <v>7910</v>
      </c>
      <c r="E169" s="9">
        <v>543</v>
      </c>
      <c r="F169" s="9">
        <v>1025605</v>
      </c>
      <c r="G169" s="10">
        <v>6.0590578244060819E-2</v>
      </c>
      <c r="H169" s="11">
        <v>40508</v>
      </c>
      <c r="I169" s="12">
        <f t="shared" si="16"/>
        <v>7367</v>
      </c>
      <c r="J169" s="10">
        <f t="shared" si="17"/>
        <v>7.183077305590359E-3</v>
      </c>
      <c r="K169" s="12">
        <f t="shared" si="15"/>
        <v>6884.333333333333</v>
      </c>
    </row>
    <row r="170" spans="1:11" x14ac:dyDescent="0.3">
      <c r="A170" s="7">
        <v>45740</v>
      </c>
      <c r="B170" s="7" t="str">
        <f t="shared" si="14"/>
        <v>Week 13</v>
      </c>
      <c r="C170" s="8" t="s">
        <v>12</v>
      </c>
      <c r="D170" s="9">
        <v>9561</v>
      </c>
      <c r="E170" s="9">
        <v>517</v>
      </c>
      <c r="F170" s="9">
        <v>1034649</v>
      </c>
      <c r="G170" s="10">
        <v>6.4086467971263689E-2</v>
      </c>
      <c r="H170" s="11">
        <v>15347</v>
      </c>
      <c r="I170" s="12">
        <f t="shared" si="16"/>
        <v>9044</v>
      </c>
      <c r="J170" s="10">
        <f t="shared" si="17"/>
        <v>8.741128633961856E-3</v>
      </c>
      <c r="K170" s="12">
        <f t="shared" si="15"/>
        <v>6837</v>
      </c>
    </row>
    <row r="171" spans="1:11" x14ac:dyDescent="0.3">
      <c r="A171" s="7">
        <v>45740</v>
      </c>
      <c r="B171" s="7" t="str">
        <f t="shared" si="14"/>
        <v>Week 13</v>
      </c>
      <c r="C171" s="8" t="s">
        <v>12</v>
      </c>
      <c r="D171" s="9">
        <v>3196</v>
      </c>
      <c r="E171" s="9">
        <v>348</v>
      </c>
      <c r="F171" s="9">
        <v>1037497</v>
      </c>
      <c r="G171" s="10">
        <v>0.14030402015620289</v>
      </c>
      <c r="H171" s="11">
        <v>40314</v>
      </c>
      <c r="I171" s="12">
        <f t="shared" si="16"/>
        <v>2848</v>
      </c>
      <c r="J171" s="10">
        <f t="shared" si="17"/>
        <v>2.7450681785103955E-3</v>
      </c>
      <c r="K171" s="12">
        <f t="shared" si="15"/>
        <v>7087.666666666667</v>
      </c>
    </row>
    <row r="172" spans="1:11" x14ac:dyDescent="0.3">
      <c r="A172" s="7">
        <v>45740</v>
      </c>
      <c r="B172" s="7" t="str">
        <f t="shared" si="14"/>
        <v>Week 13</v>
      </c>
      <c r="C172" s="8" t="s">
        <v>11</v>
      </c>
      <c r="D172" s="9">
        <v>4747</v>
      </c>
      <c r="E172" s="9">
        <v>558</v>
      </c>
      <c r="F172" s="9">
        <v>1041686</v>
      </c>
      <c r="G172" s="10">
        <v>5.7680529449373436E-2</v>
      </c>
      <c r="H172" s="11">
        <v>12643</v>
      </c>
      <c r="I172" s="12">
        <f t="shared" si="16"/>
        <v>4189</v>
      </c>
      <c r="J172" s="10">
        <f t="shared" si="17"/>
        <v>4.021365363458854E-3</v>
      </c>
      <c r="K172" s="12">
        <f t="shared" si="15"/>
        <v>6419.666666666667</v>
      </c>
    </row>
    <row r="173" spans="1:11" x14ac:dyDescent="0.3">
      <c r="A173" s="7">
        <v>45740</v>
      </c>
      <c r="B173" s="7" t="str">
        <f t="shared" si="14"/>
        <v>Week 13</v>
      </c>
      <c r="C173" s="8" t="s">
        <v>12</v>
      </c>
      <c r="D173" s="9">
        <v>9843</v>
      </c>
      <c r="E173" s="9">
        <v>508</v>
      </c>
      <c r="F173" s="9">
        <v>1051021</v>
      </c>
      <c r="G173" s="10">
        <v>4.2080986012648654E-2</v>
      </c>
      <c r="H173" s="11">
        <v>50785</v>
      </c>
      <c r="I173" s="12">
        <f t="shared" si="16"/>
        <v>9335</v>
      </c>
      <c r="J173" s="10">
        <f t="shared" si="17"/>
        <v>8.8818396587699005E-3</v>
      </c>
      <c r="K173" s="12">
        <f t="shared" si="15"/>
        <v>5360.333333333333</v>
      </c>
    </row>
    <row r="174" spans="1:11" x14ac:dyDescent="0.3">
      <c r="A174" s="7">
        <v>45747</v>
      </c>
      <c r="B174" s="7" t="str">
        <f t="shared" si="14"/>
        <v>Week 14</v>
      </c>
      <c r="C174" s="8" t="s">
        <v>10</v>
      </c>
      <c r="D174" s="9">
        <v>6978</v>
      </c>
      <c r="E174" s="9">
        <v>706</v>
      </c>
      <c r="F174" s="9">
        <v>1057293</v>
      </c>
      <c r="G174" s="10">
        <v>5.057443868445171E-2</v>
      </c>
      <c r="H174" s="11">
        <v>28681</v>
      </c>
      <c r="I174" s="12">
        <f t="shared" si="16"/>
        <v>6272</v>
      </c>
      <c r="J174" s="10">
        <f t="shared" si="17"/>
        <v>5.9321304501212058E-3</v>
      </c>
      <c r="K174" s="12">
        <f t="shared" si="15"/>
        <v>5457.333333333333</v>
      </c>
    </row>
    <row r="175" spans="1:11" x14ac:dyDescent="0.3">
      <c r="A175" s="7">
        <v>45747</v>
      </c>
      <c r="B175" s="7" t="str">
        <f t="shared" si="14"/>
        <v>Week 14</v>
      </c>
      <c r="C175" s="8" t="s">
        <v>9</v>
      </c>
      <c r="D175" s="9">
        <v>6607</v>
      </c>
      <c r="E175" s="9">
        <v>479</v>
      </c>
      <c r="F175" s="9">
        <v>1063421</v>
      </c>
      <c r="G175" s="10">
        <v>5.5892257158735817E-2</v>
      </c>
      <c r="H175" s="11">
        <v>48328</v>
      </c>
      <c r="I175" s="12">
        <f t="shared" si="16"/>
        <v>6128</v>
      </c>
      <c r="J175" s="10">
        <f t="shared" si="17"/>
        <v>5.7625343114345116E-3</v>
      </c>
      <c r="K175" s="12">
        <f t="shared" si="15"/>
        <v>6598.666666666667</v>
      </c>
    </row>
    <row r="176" spans="1:11" x14ac:dyDescent="0.3">
      <c r="A176" s="7">
        <v>45747</v>
      </c>
      <c r="B176" s="7" t="str">
        <f t="shared" si="14"/>
        <v>Week 14</v>
      </c>
      <c r="C176" s="8" t="s">
        <v>11</v>
      </c>
      <c r="D176" s="9">
        <v>1769</v>
      </c>
      <c r="E176" s="9">
        <v>202</v>
      </c>
      <c r="F176" s="9">
        <v>1064988</v>
      </c>
      <c r="G176" s="10">
        <v>6.5457075572682516E-2</v>
      </c>
      <c r="H176" s="11">
        <v>25892</v>
      </c>
      <c r="I176" s="12">
        <f t="shared" si="16"/>
        <v>1567</v>
      </c>
      <c r="J176" s="10">
        <f t="shared" si="17"/>
        <v>1.4713780812553757E-3</v>
      </c>
      <c r="K176" s="12">
        <f t="shared" si="15"/>
        <v>7245</v>
      </c>
    </row>
    <row r="177" spans="1:11" x14ac:dyDescent="0.3">
      <c r="A177" s="7">
        <v>45747</v>
      </c>
      <c r="B177" s="7" t="str">
        <f t="shared" si="14"/>
        <v>Week 14</v>
      </c>
      <c r="C177" s="8" t="s">
        <v>12</v>
      </c>
      <c r="D177" s="9">
        <v>1780</v>
      </c>
      <c r="E177" s="9">
        <v>120</v>
      </c>
      <c r="F177" s="9">
        <v>1066648</v>
      </c>
      <c r="G177" s="10">
        <v>0.1386474263299608</v>
      </c>
      <c r="H177" s="11">
        <v>57299</v>
      </c>
      <c r="I177" s="12">
        <f t="shared" si="16"/>
        <v>1660</v>
      </c>
      <c r="J177" s="10">
        <f t="shared" si="17"/>
        <v>1.55627723485161E-3</v>
      </c>
      <c r="K177" s="12">
        <f t="shared" si="15"/>
        <v>4655.666666666667</v>
      </c>
    </row>
    <row r="178" spans="1:11" x14ac:dyDescent="0.3">
      <c r="A178" s="7">
        <v>45754</v>
      </c>
      <c r="B178" s="7" t="str">
        <f t="shared" si="14"/>
        <v>Week 15</v>
      </c>
      <c r="C178" s="8" t="s">
        <v>11</v>
      </c>
      <c r="D178" s="9">
        <v>7303</v>
      </c>
      <c r="E178" s="9">
        <v>869</v>
      </c>
      <c r="F178" s="9">
        <v>1073082</v>
      </c>
      <c r="G178" s="10">
        <v>8.123796690280892E-2</v>
      </c>
      <c r="H178" s="11">
        <v>27073</v>
      </c>
      <c r="I178" s="12">
        <f t="shared" si="16"/>
        <v>6434</v>
      </c>
      <c r="J178" s="10">
        <f t="shared" si="17"/>
        <v>5.9958139266151145E-3</v>
      </c>
      <c r="K178" s="12">
        <f t="shared" si="15"/>
        <v>3118.3333333333335</v>
      </c>
    </row>
    <row r="179" spans="1:11" x14ac:dyDescent="0.3">
      <c r="A179" s="7">
        <v>45754</v>
      </c>
      <c r="B179" s="7" t="str">
        <f t="shared" si="14"/>
        <v>Week 15</v>
      </c>
      <c r="C179" s="8" t="s">
        <v>12</v>
      </c>
      <c r="D179" s="9">
        <v>4983</v>
      </c>
      <c r="E179" s="9">
        <v>441</v>
      </c>
      <c r="F179" s="9">
        <v>1077624</v>
      </c>
      <c r="G179" s="10">
        <v>6.8954477628560606E-2</v>
      </c>
      <c r="H179" s="11">
        <v>46768</v>
      </c>
      <c r="I179" s="12">
        <f t="shared" si="16"/>
        <v>4542</v>
      </c>
      <c r="J179" s="10">
        <f t="shared" si="17"/>
        <v>4.2148281775461569E-3</v>
      </c>
      <c r="K179" s="12">
        <f t="shared" si="15"/>
        <v>3220.3333333333335</v>
      </c>
    </row>
    <row r="180" spans="1:11" x14ac:dyDescent="0.3">
      <c r="A180" s="7">
        <v>45754</v>
      </c>
      <c r="B180" s="7" t="str">
        <f t="shared" si="14"/>
        <v>Week 15</v>
      </c>
      <c r="C180" s="8" t="s">
        <v>10</v>
      </c>
      <c r="D180" s="9">
        <v>9714</v>
      </c>
      <c r="E180" s="9">
        <v>1395</v>
      </c>
      <c r="F180" s="9">
        <v>1085943</v>
      </c>
      <c r="G180" s="10">
        <v>5.2243073531483698E-2</v>
      </c>
      <c r="H180" s="11">
        <v>40682</v>
      </c>
      <c r="I180" s="12">
        <f t="shared" si="16"/>
        <v>8319</v>
      </c>
      <c r="J180" s="10">
        <f t="shared" si="17"/>
        <v>7.6606230713766746E-3</v>
      </c>
      <c r="K180" s="12">
        <f t="shared" si="15"/>
        <v>4212</v>
      </c>
    </row>
    <row r="181" spans="1:11" x14ac:dyDescent="0.3">
      <c r="A181" s="7">
        <v>45754</v>
      </c>
      <c r="B181" s="7" t="str">
        <f t="shared" si="14"/>
        <v>Week 15</v>
      </c>
      <c r="C181" s="8" t="s">
        <v>9</v>
      </c>
      <c r="D181" s="9">
        <v>1521</v>
      </c>
      <c r="E181" s="9">
        <v>96</v>
      </c>
      <c r="F181" s="9">
        <v>1087368</v>
      </c>
      <c r="G181" s="10">
        <v>0.12709772588488899</v>
      </c>
      <c r="H181" s="11">
        <v>42262</v>
      </c>
      <c r="I181" s="12">
        <f t="shared" si="16"/>
        <v>1425</v>
      </c>
      <c r="J181" s="10">
        <f t="shared" si="17"/>
        <v>1.3105038956452645E-3</v>
      </c>
      <c r="K181" s="12">
        <f t="shared" si="15"/>
        <v>6431.666666666667</v>
      </c>
    </row>
    <row r="182" spans="1:11" x14ac:dyDescent="0.3">
      <c r="A182" s="7">
        <v>45761</v>
      </c>
      <c r="B182" s="7" t="str">
        <f t="shared" si="14"/>
        <v>Week 16</v>
      </c>
      <c r="C182" s="8" t="s">
        <v>12</v>
      </c>
      <c r="D182" s="9">
        <v>8569</v>
      </c>
      <c r="E182" s="9">
        <v>720</v>
      </c>
      <c r="F182" s="9">
        <v>1095217</v>
      </c>
      <c r="G182" s="10">
        <v>9.5896977493957813E-2</v>
      </c>
      <c r="H182" s="11">
        <v>41358</v>
      </c>
      <c r="I182" s="12">
        <f t="shared" si="16"/>
        <v>7849</v>
      </c>
      <c r="J182" s="10">
        <f t="shared" si="17"/>
        <v>7.1666162961312686E-3</v>
      </c>
      <c r="K182" s="12">
        <f t="shared" si="15"/>
        <v>4762</v>
      </c>
    </row>
    <row r="183" spans="1:11" x14ac:dyDescent="0.3">
      <c r="A183" s="7">
        <v>45761</v>
      </c>
      <c r="B183" s="7" t="str">
        <f t="shared" si="14"/>
        <v>Week 16</v>
      </c>
      <c r="C183" s="8" t="s">
        <v>12</v>
      </c>
      <c r="D183" s="9">
        <v>6784</v>
      </c>
      <c r="E183" s="9">
        <v>416</v>
      </c>
      <c r="F183" s="9">
        <v>1101585</v>
      </c>
      <c r="G183" s="10">
        <v>9.3041390360253634E-2</v>
      </c>
      <c r="H183" s="11">
        <v>24289</v>
      </c>
      <c r="I183" s="12">
        <f t="shared" si="16"/>
        <v>6368</v>
      </c>
      <c r="J183" s="10">
        <f t="shared" si="17"/>
        <v>5.7807613574985131E-3</v>
      </c>
      <c r="K183" s="12">
        <f t="shared" si="15"/>
        <v>5864.333333333333</v>
      </c>
    </row>
    <row r="184" spans="1:11" x14ac:dyDescent="0.3">
      <c r="A184" s="7">
        <v>45761</v>
      </c>
      <c r="B184" s="7" t="str">
        <f t="shared" si="14"/>
        <v>Week 16</v>
      </c>
      <c r="C184" s="8" t="s">
        <v>12</v>
      </c>
      <c r="D184" s="9">
        <v>5583</v>
      </c>
      <c r="E184" s="9">
        <v>795</v>
      </c>
      <c r="F184" s="9">
        <v>1106373</v>
      </c>
      <c r="G184" s="10">
        <v>0.1221550055903389</v>
      </c>
      <c r="H184" s="11">
        <v>59823</v>
      </c>
      <c r="I184" s="12">
        <f t="shared" si="16"/>
        <v>4788</v>
      </c>
      <c r="J184" s="10">
        <f t="shared" si="17"/>
        <v>4.327654416729259E-3</v>
      </c>
      <c r="K184" s="12">
        <f t="shared" si="15"/>
        <v>5214</v>
      </c>
    </row>
    <row r="185" spans="1:11" x14ac:dyDescent="0.3">
      <c r="A185" s="7">
        <v>45761</v>
      </c>
      <c r="B185" s="7" t="str">
        <f t="shared" si="14"/>
        <v>Week 16</v>
      </c>
      <c r="C185" s="8" t="s">
        <v>12</v>
      </c>
      <c r="D185" s="9">
        <v>6946</v>
      </c>
      <c r="E185" s="9">
        <v>956</v>
      </c>
      <c r="F185" s="9">
        <v>1112363</v>
      </c>
      <c r="G185" s="10">
        <v>1.6414605663798602E-2</v>
      </c>
      <c r="H185" s="11">
        <v>17927</v>
      </c>
      <c r="I185" s="12">
        <f t="shared" si="16"/>
        <v>5990</v>
      </c>
      <c r="J185" s="10">
        <f t="shared" si="17"/>
        <v>5.3849327962185002E-3</v>
      </c>
      <c r="K185" s="12">
        <f t="shared" si="15"/>
        <v>6335</v>
      </c>
    </row>
    <row r="186" spans="1:11" x14ac:dyDescent="0.3">
      <c r="A186" s="7">
        <v>45768</v>
      </c>
      <c r="B186" s="7" t="str">
        <f t="shared" si="14"/>
        <v>Week 17</v>
      </c>
      <c r="C186" s="8" t="s">
        <v>9</v>
      </c>
      <c r="D186" s="9">
        <v>5941</v>
      </c>
      <c r="E186" s="9">
        <v>450</v>
      </c>
      <c r="F186" s="9">
        <v>1117854</v>
      </c>
      <c r="G186" s="10">
        <v>0.12414411899944</v>
      </c>
      <c r="H186" s="11">
        <v>58330</v>
      </c>
      <c r="I186" s="12">
        <f t="shared" si="16"/>
        <v>5491</v>
      </c>
      <c r="J186" s="10">
        <f t="shared" si="17"/>
        <v>4.9120904876665469E-3</v>
      </c>
      <c r="K186" s="12">
        <f t="shared" si="15"/>
        <v>5715.333333333333</v>
      </c>
    </row>
    <row r="187" spans="1:11" x14ac:dyDescent="0.3">
      <c r="A187" s="7">
        <v>45768</v>
      </c>
      <c r="B187" s="7" t="str">
        <f t="shared" si="14"/>
        <v>Week 17</v>
      </c>
      <c r="C187" s="8" t="s">
        <v>9</v>
      </c>
      <c r="D187" s="9">
        <v>7267</v>
      </c>
      <c r="E187" s="9">
        <v>842</v>
      </c>
      <c r="F187" s="9">
        <v>1124279</v>
      </c>
      <c r="G187" s="10">
        <v>2.210216503198939E-2</v>
      </c>
      <c r="H187" s="11">
        <v>11171</v>
      </c>
      <c r="I187" s="12">
        <f t="shared" si="16"/>
        <v>6425</v>
      </c>
      <c r="J187" s="10">
        <f t="shared" si="17"/>
        <v>5.7147736460433753E-3</v>
      </c>
      <c r="K187" s="12">
        <f t="shared" si="15"/>
        <v>5423</v>
      </c>
    </row>
    <row r="188" spans="1:11" x14ac:dyDescent="0.3">
      <c r="A188" s="7">
        <v>45768</v>
      </c>
      <c r="B188" s="7" t="str">
        <f t="shared" si="14"/>
        <v>Week 17</v>
      </c>
      <c r="C188" s="8" t="s">
        <v>10</v>
      </c>
      <c r="D188" s="9">
        <v>8128</v>
      </c>
      <c r="E188" s="9">
        <v>1070</v>
      </c>
      <c r="F188" s="9">
        <v>1131337</v>
      </c>
      <c r="G188" s="10">
        <v>8.1114645768679008E-2</v>
      </c>
      <c r="H188" s="11">
        <v>21918</v>
      </c>
      <c r="I188" s="12">
        <f t="shared" si="16"/>
        <v>7058</v>
      </c>
      <c r="J188" s="10">
        <f t="shared" si="17"/>
        <v>6.2386362330587612E-3</v>
      </c>
      <c r="K188" s="12">
        <f t="shared" si="15"/>
        <v>5968.666666666667</v>
      </c>
    </row>
    <row r="189" spans="1:11" x14ac:dyDescent="0.3">
      <c r="A189" s="7">
        <v>45768</v>
      </c>
      <c r="B189" s="7" t="str">
        <f t="shared" si="14"/>
        <v>Week 17</v>
      </c>
      <c r="C189" s="8" t="s">
        <v>9</v>
      </c>
      <c r="D189" s="9">
        <v>3461</v>
      </c>
      <c r="E189" s="9">
        <v>365</v>
      </c>
      <c r="F189" s="9">
        <v>1134433</v>
      </c>
      <c r="G189" s="10">
        <v>0.1023489267325616</v>
      </c>
      <c r="H189" s="11">
        <v>51903</v>
      </c>
      <c r="I189" s="12">
        <f t="shared" si="16"/>
        <v>3096</v>
      </c>
      <c r="J189" s="10">
        <f t="shared" si="17"/>
        <v>2.7291166600407427E-3</v>
      </c>
      <c r="K189" s="12">
        <f t="shared" si="15"/>
        <v>6324.666666666667</v>
      </c>
    </row>
    <row r="190" spans="1:11" x14ac:dyDescent="0.3">
      <c r="A190" s="7">
        <v>45775</v>
      </c>
      <c r="B190" s="7" t="str">
        <f t="shared" si="14"/>
        <v>Week 18</v>
      </c>
      <c r="C190" s="8" t="s">
        <v>12</v>
      </c>
      <c r="D190" s="9">
        <v>1685</v>
      </c>
      <c r="E190" s="9">
        <v>173</v>
      </c>
      <c r="F190" s="9">
        <v>1135945</v>
      </c>
      <c r="G190" s="10">
        <v>8.7776256772995165E-2</v>
      </c>
      <c r="H190" s="11">
        <v>49110</v>
      </c>
      <c r="I190" s="12">
        <f t="shared" si="16"/>
        <v>1512</v>
      </c>
      <c r="J190" s="10">
        <f t="shared" si="17"/>
        <v>1.331050358952238E-3</v>
      </c>
      <c r="K190" s="12">
        <f t="shared" si="15"/>
        <v>5526.333333333333</v>
      </c>
    </row>
    <row r="191" spans="1:11" x14ac:dyDescent="0.3">
      <c r="A191" s="7">
        <v>45775</v>
      </c>
      <c r="B191" s="7" t="str">
        <f t="shared" si="14"/>
        <v>Week 18</v>
      </c>
      <c r="C191" s="8" t="s">
        <v>10</v>
      </c>
      <c r="D191" s="9">
        <v>3160</v>
      </c>
      <c r="E191" s="9">
        <v>234</v>
      </c>
      <c r="F191" s="9">
        <v>1138871</v>
      </c>
      <c r="G191" s="10">
        <v>5.6959041015180817E-2</v>
      </c>
      <c r="H191" s="11">
        <v>21929</v>
      </c>
      <c r="I191" s="12">
        <f t="shared" si="16"/>
        <v>2926</v>
      </c>
      <c r="J191" s="10">
        <f t="shared" si="17"/>
        <v>2.5692110871204906E-3</v>
      </c>
      <c r="K191" s="12">
        <f t="shared" si="15"/>
        <v>3888.6666666666665</v>
      </c>
    </row>
    <row r="192" spans="1:11" x14ac:dyDescent="0.3">
      <c r="A192" s="7">
        <v>45775</v>
      </c>
      <c r="B192" s="7" t="str">
        <f t="shared" si="14"/>
        <v>Week 18</v>
      </c>
      <c r="C192" s="8" t="s">
        <v>10</v>
      </c>
      <c r="D192" s="9">
        <v>8031</v>
      </c>
      <c r="E192" s="9">
        <v>476</v>
      </c>
      <c r="F192" s="9">
        <v>1146426</v>
      </c>
      <c r="G192" s="10">
        <v>0.11940413075069831</v>
      </c>
      <c r="H192" s="11">
        <v>12539</v>
      </c>
      <c r="I192" s="12">
        <f t="shared" si="16"/>
        <v>7555</v>
      </c>
      <c r="J192" s="10">
        <f t="shared" si="17"/>
        <v>6.5900459340594159E-3</v>
      </c>
      <c r="K192" s="12">
        <f t="shared" si="15"/>
        <v>2511.3333333333335</v>
      </c>
    </row>
    <row r="193" spans="1:11" x14ac:dyDescent="0.3">
      <c r="A193" s="7">
        <v>45775</v>
      </c>
      <c r="B193" s="7" t="str">
        <f t="shared" si="14"/>
        <v>Week 18</v>
      </c>
      <c r="C193" s="8" t="s">
        <v>10</v>
      </c>
      <c r="D193" s="9">
        <v>6341</v>
      </c>
      <c r="E193" s="9">
        <v>885</v>
      </c>
      <c r="F193" s="9">
        <v>1151882</v>
      </c>
      <c r="G193" s="10">
        <v>6.3457020771224837E-2</v>
      </c>
      <c r="H193" s="11">
        <v>46727</v>
      </c>
      <c r="I193" s="12">
        <f t="shared" si="16"/>
        <v>5456</v>
      </c>
      <c r="J193" s="10">
        <f t="shared" si="17"/>
        <v>4.7365962832998515E-3</v>
      </c>
      <c r="K193" s="12">
        <f t="shared" si="15"/>
        <v>3997.6666666666665</v>
      </c>
    </row>
    <row r="194" spans="1:11" x14ac:dyDescent="0.3">
      <c r="A194" s="7">
        <v>45782</v>
      </c>
      <c r="B194" s="7" t="str">
        <f t="shared" si="14"/>
        <v>Week 19</v>
      </c>
      <c r="C194" s="8" t="s">
        <v>12</v>
      </c>
      <c r="D194" s="9">
        <v>1038</v>
      </c>
      <c r="E194" s="9">
        <v>145</v>
      </c>
      <c r="F194" s="9">
        <v>1152775</v>
      </c>
      <c r="G194" s="10">
        <v>0.11093752033137431</v>
      </c>
      <c r="H194" s="11">
        <v>55951</v>
      </c>
      <c r="I194" s="12">
        <f t="shared" ref="I194:I201" si="18">D194-E194</f>
        <v>893</v>
      </c>
      <c r="J194" s="10">
        <f t="shared" ref="J194:J225" si="19">I194/F194</f>
        <v>7.7465246904209403E-4</v>
      </c>
      <c r="K194" s="12">
        <f t="shared" si="15"/>
        <v>5312.333333333333</v>
      </c>
    </row>
    <row r="195" spans="1:11" x14ac:dyDescent="0.3">
      <c r="A195" s="7">
        <v>45782</v>
      </c>
      <c r="B195" s="7" t="str">
        <f t="shared" ref="B195:B201" si="20">"Week "&amp;WEEKNUM(A195)</f>
        <v>Week 19</v>
      </c>
      <c r="C195" s="8" t="s">
        <v>11</v>
      </c>
      <c r="D195" s="9">
        <v>5875</v>
      </c>
      <c r="E195" s="9">
        <v>665</v>
      </c>
      <c r="F195" s="9">
        <v>1157985</v>
      </c>
      <c r="G195" s="10">
        <v>6.9871371390821127E-2</v>
      </c>
      <c r="H195" s="11">
        <v>32669</v>
      </c>
      <c r="I195" s="12">
        <f t="shared" si="18"/>
        <v>5210</v>
      </c>
      <c r="J195" s="10">
        <f t="shared" si="19"/>
        <v>4.4991947218659999E-3</v>
      </c>
      <c r="K195" s="12">
        <f t="shared" si="15"/>
        <v>4634.666666666667</v>
      </c>
    </row>
    <row r="196" spans="1:11" x14ac:dyDescent="0.3">
      <c r="A196" s="7">
        <v>45782</v>
      </c>
      <c r="B196" s="7" t="str">
        <f t="shared" si="20"/>
        <v>Week 19</v>
      </c>
      <c r="C196" s="8" t="s">
        <v>12</v>
      </c>
      <c r="D196" s="9">
        <v>2256</v>
      </c>
      <c r="E196" s="9">
        <v>189</v>
      </c>
      <c r="F196" s="9">
        <v>1160052</v>
      </c>
      <c r="G196" s="10">
        <v>2.8935771844710412E-2</v>
      </c>
      <c r="H196" s="11">
        <v>15432</v>
      </c>
      <c r="I196" s="12">
        <f t="shared" si="18"/>
        <v>2067</v>
      </c>
      <c r="J196" s="10">
        <f t="shared" si="19"/>
        <v>1.7818166771834366E-3</v>
      </c>
      <c r="K196" s="12">
        <f t="shared" si="15"/>
        <v>3853</v>
      </c>
    </row>
    <row r="197" spans="1:11" x14ac:dyDescent="0.3">
      <c r="A197" s="7">
        <v>45782</v>
      </c>
      <c r="B197" s="7" t="str">
        <f t="shared" si="20"/>
        <v>Week 19</v>
      </c>
      <c r="C197" s="8" t="s">
        <v>9</v>
      </c>
      <c r="D197" s="9">
        <v>8697</v>
      </c>
      <c r="E197" s="9">
        <v>738</v>
      </c>
      <c r="F197" s="9">
        <v>1168011</v>
      </c>
      <c r="G197" s="10">
        <v>3.877703206562267E-2</v>
      </c>
      <c r="H197" s="11">
        <v>30644</v>
      </c>
      <c r="I197" s="12">
        <f t="shared" si="18"/>
        <v>7959</v>
      </c>
      <c r="J197" s="10">
        <f t="shared" si="19"/>
        <v>6.8141481544266276E-3</v>
      </c>
      <c r="K197" s="12">
        <f t="shared" si="15"/>
        <v>2723.3333333333335</v>
      </c>
    </row>
    <row r="198" spans="1:11" x14ac:dyDescent="0.3">
      <c r="A198" s="7">
        <v>45789</v>
      </c>
      <c r="B198" s="7" t="str">
        <f t="shared" si="20"/>
        <v>Week 20</v>
      </c>
      <c r="C198" s="8" t="s">
        <v>9</v>
      </c>
      <c r="D198" s="9">
        <v>3196</v>
      </c>
      <c r="E198" s="9">
        <v>391</v>
      </c>
      <c r="F198" s="9">
        <v>1170816</v>
      </c>
      <c r="G198" s="10">
        <v>7.2439221876024931E-2</v>
      </c>
      <c r="H198" s="11">
        <v>28745</v>
      </c>
      <c r="I198" s="12">
        <f t="shared" si="18"/>
        <v>2805</v>
      </c>
      <c r="J198" s="10">
        <f t="shared" si="19"/>
        <v>2.3957650049196456E-3</v>
      </c>
      <c r="K198" s="12">
        <f t="shared" si="15"/>
        <v>5078.666666666667</v>
      </c>
    </row>
    <row r="199" spans="1:11" x14ac:dyDescent="0.3">
      <c r="A199" s="7">
        <v>45789</v>
      </c>
      <c r="B199" s="7" t="str">
        <f t="shared" si="20"/>
        <v>Week 20</v>
      </c>
      <c r="C199" s="8" t="s">
        <v>12</v>
      </c>
      <c r="D199" s="9">
        <v>8165</v>
      </c>
      <c r="E199" s="9">
        <v>1140</v>
      </c>
      <c r="F199" s="9">
        <v>1177841</v>
      </c>
      <c r="G199" s="10">
        <v>9.0959645656756724E-2</v>
      </c>
      <c r="H199" s="11">
        <v>38228</v>
      </c>
      <c r="I199" s="12">
        <f t="shared" si="18"/>
        <v>7025</v>
      </c>
      <c r="J199" s="10">
        <f t="shared" si="19"/>
        <v>5.9643024822535473E-3</v>
      </c>
      <c r="K199" s="12">
        <f t="shared" si="15"/>
        <v>4277</v>
      </c>
    </row>
    <row r="200" spans="1:11" x14ac:dyDescent="0.3">
      <c r="A200" s="7">
        <v>45789</v>
      </c>
      <c r="B200" s="7" t="str">
        <f t="shared" si="20"/>
        <v>Week 20</v>
      </c>
      <c r="C200" s="8" t="s">
        <v>12</v>
      </c>
      <c r="D200" s="9">
        <v>1301</v>
      </c>
      <c r="E200" s="9">
        <v>180</v>
      </c>
      <c r="F200" s="9">
        <v>1178962</v>
      </c>
      <c r="G200" s="10">
        <v>5.2275645864752217E-2</v>
      </c>
      <c r="H200" s="11">
        <v>44521</v>
      </c>
      <c r="I200" s="12">
        <f t="shared" si="18"/>
        <v>1121</v>
      </c>
      <c r="J200" s="10">
        <f t="shared" si="19"/>
        <v>9.5083641372665107E-4</v>
      </c>
      <c r="K200" s="12">
        <f t="shared" ref="K200:K201" si="21">AVERAGE(I197:I199)</f>
        <v>5929.666666666667</v>
      </c>
    </row>
    <row r="201" spans="1:11" x14ac:dyDescent="0.3">
      <c r="A201" s="7">
        <v>45789</v>
      </c>
      <c r="B201" s="7" t="str">
        <f t="shared" si="20"/>
        <v>Week 20</v>
      </c>
      <c r="C201" s="8" t="s">
        <v>10</v>
      </c>
      <c r="D201" s="9">
        <v>8527</v>
      </c>
      <c r="E201" s="9">
        <v>1091</v>
      </c>
      <c r="F201" s="9">
        <v>1186398</v>
      </c>
      <c r="G201" s="10">
        <v>1.6760817196252858E-2</v>
      </c>
      <c r="H201" s="11">
        <v>41703</v>
      </c>
      <c r="I201" s="12">
        <f t="shared" si="18"/>
        <v>7436</v>
      </c>
      <c r="J201" s="10">
        <f t="shared" si="19"/>
        <v>6.267711172810473E-3</v>
      </c>
      <c r="K201" s="12">
        <f t="shared" si="21"/>
        <v>3650.3333333333335</v>
      </c>
    </row>
  </sheetData>
  <sortState xmlns:xlrd2="http://schemas.microsoft.com/office/spreadsheetml/2017/richdata2" ref="A2:J201">
    <sortCondition ref="A1:A201"/>
  </sortState>
  <mergeCells count="2">
    <mergeCell ref="M8:S9"/>
    <mergeCell ref="M6:S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FD24-81FA-42E1-8E80-F452D5C9591D}">
  <sheetPr>
    <tabColor rgb="FF7030A0"/>
  </sheetPr>
  <dimension ref="A5:S103"/>
  <sheetViews>
    <sheetView tabSelected="1" topLeftCell="J80" workbookViewId="0">
      <selection activeCell="Y97" sqref="Y97"/>
    </sheetView>
  </sheetViews>
  <sheetFormatPr defaultRowHeight="14.4" x14ac:dyDescent="0.3"/>
  <cols>
    <col min="1" max="1" width="18.21875" customWidth="1"/>
    <col min="2" max="2" width="13.5546875" customWidth="1"/>
    <col min="3" max="3" width="10.77734375" customWidth="1"/>
    <col min="6" max="6" width="11.21875" customWidth="1"/>
    <col min="8" max="8" width="20.21875" customWidth="1"/>
    <col min="9" max="9" width="44.6640625" customWidth="1"/>
    <col min="11" max="11" width="14.88671875" customWidth="1"/>
    <col min="12" max="12" width="12.77734375" customWidth="1"/>
    <col min="13" max="13" width="33.77734375" customWidth="1"/>
  </cols>
  <sheetData>
    <row r="5" spans="1:13" x14ac:dyDescent="0.3">
      <c r="A5" s="20" t="s">
        <v>18</v>
      </c>
      <c r="B5" s="21"/>
      <c r="C5" s="21"/>
      <c r="D5" s="21"/>
      <c r="E5" s="21"/>
      <c r="F5" s="21"/>
      <c r="H5" s="23" t="s">
        <v>71</v>
      </c>
      <c r="I5" s="24"/>
      <c r="K5" s="26" t="s">
        <v>79</v>
      </c>
      <c r="L5" s="26"/>
      <c r="M5" s="26"/>
    </row>
    <row r="6" spans="1:13" x14ac:dyDescent="0.3">
      <c r="A6" s="21"/>
      <c r="B6" s="21"/>
      <c r="C6" s="21"/>
      <c r="D6" s="21"/>
      <c r="E6" s="21"/>
      <c r="F6" s="21"/>
      <c r="H6" s="24"/>
      <c r="I6" s="24"/>
      <c r="K6" s="26"/>
      <c r="L6" s="26"/>
      <c r="M6" s="26"/>
    </row>
    <row r="7" spans="1:13" x14ac:dyDescent="0.3">
      <c r="A7" s="22" t="s">
        <v>17</v>
      </c>
      <c r="B7" s="17"/>
      <c r="C7" s="17"/>
      <c r="D7" s="17"/>
      <c r="E7" s="17"/>
      <c r="F7" s="17"/>
      <c r="H7" s="18" t="s">
        <v>70</v>
      </c>
      <c r="I7" s="18"/>
      <c r="K7" s="25" t="s">
        <v>78</v>
      </c>
      <c r="L7" s="25"/>
      <c r="M7" s="25"/>
    </row>
    <row r="8" spans="1:13" x14ac:dyDescent="0.3">
      <c r="A8" s="17"/>
      <c r="B8" s="17"/>
      <c r="C8" s="17"/>
      <c r="D8" s="17"/>
      <c r="E8" s="17"/>
      <c r="F8" s="17"/>
      <c r="H8" s="18"/>
      <c r="I8" s="18"/>
      <c r="K8" s="25"/>
      <c r="L8" s="25"/>
      <c r="M8" s="25"/>
    </row>
    <row r="9" spans="1:13" x14ac:dyDescent="0.3">
      <c r="A9" s="13" t="s">
        <v>16</v>
      </c>
      <c r="B9" s="13" t="s">
        <v>15</v>
      </c>
      <c r="H9" s="18"/>
      <c r="I9" s="18"/>
      <c r="K9" s="13" t="s">
        <v>13</v>
      </c>
      <c r="L9" s="13" t="s">
        <v>77</v>
      </c>
      <c r="M9" t="s">
        <v>76</v>
      </c>
    </row>
    <row r="10" spans="1:13" x14ac:dyDescent="0.3">
      <c r="A10" s="13" t="s">
        <v>13</v>
      </c>
      <c r="B10" t="s">
        <v>9</v>
      </c>
      <c r="C10" t="s">
        <v>12</v>
      </c>
      <c r="D10" t="s">
        <v>10</v>
      </c>
      <c r="E10" t="s">
        <v>11</v>
      </c>
      <c r="F10" t="s">
        <v>14</v>
      </c>
      <c r="H10" s="13" t="s">
        <v>13</v>
      </c>
      <c r="I10" t="s">
        <v>19</v>
      </c>
      <c r="K10" s="14" t="s">
        <v>59</v>
      </c>
      <c r="L10" s="12">
        <v>5097.25</v>
      </c>
      <c r="M10" s="12">
        <v>6371.9166666666661</v>
      </c>
    </row>
    <row r="11" spans="1:13" x14ac:dyDescent="0.3">
      <c r="A11" s="14" t="s">
        <v>59</v>
      </c>
      <c r="B11" s="12"/>
      <c r="C11" s="12">
        <v>7432</v>
      </c>
      <c r="D11" s="12">
        <v>6326</v>
      </c>
      <c r="E11" s="12">
        <v>6631</v>
      </c>
      <c r="F11" s="12">
        <v>20389</v>
      </c>
      <c r="H11" s="14" t="s">
        <v>59</v>
      </c>
      <c r="I11" s="10">
        <v>5.2411849257477531E-3</v>
      </c>
      <c r="K11" s="14" t="s">
        <v>60</v>
      </c>
      <c r="L11" s="12">
        <v>4451.75</v>
      </c>
      <c r="M11" s="12">
        <v>5003.416666666667</v>
      </c>
    </row>
    <row r="12" spans="1:13" x14ac:dyDescent="0.3">
      <c r="A12" s="14" t="s">
        <v>60</v>
      </c>
      <c r="B12" s="12">
        <v>2994</v>
      </c>
      <c r="C12" s="12">
        <v>2535</v>
      </c>
      <c r="D12" s="12">
        <v>8723</v>
      </c>
      <c r="E12" s="12">
        <v>3555</v>
      </c>
      <c r="F12" s="12">
        <v>17807</v>
      </c>
      <c r="H12" s="14" t="s">
        <v>60</v>
      </c>
      <c r="I12" s="10">
        <v>4.4894941611353517E-3</v>
      </c>
      <c r="K12" s="14" t="s">
        <v>61</v>
      </c>
      <c r="L12" s="12">
        <v>7005</v>
      </c>
      <c r="M12" s="12">
        <v>5139.333333333333</v>
      </c>
    </row>
    <row r="13" spans="1:13" x14ac:dyDescent="0.3">
      <c r="A13" s="14" t="s">
        <v>61</v>
      </c>
      <c r="B13" s="12">
        <v>8292</v>
      </c>
      <c r="C13" s="12">
        <v>19728</v>
      </c>
      <c r="D13" s="12"/>
      <c r="E13" s="12"/>
      <c r="F13" s="12">
        <v>28020</v>
      </c>
      <c r="H13" s="14" t="s">
        <v>61</v>
      </c>
      <c r="I13" s="10">
        <v>6.9003959993473498E-3</v>
      </c>
      <c r="K13" s="14" t="s">
        <v>62</v>
      </c>
      <c r="L13" s="12">
        <v>6354</v>
      </c>
      <c r="M13" s="12">
        <v>6426.166666666667</v>
      </c>
    </row>
    <row r="14" spans="1:13" x14ac:dyDescent="0.3">
      <c r="A14" s="14" t="s">
        <v>62</v>
      </c>
      <c r="B14" s="12"/>
      <c r="C14" s="12">
        <v>21227</v>
      </c>
      <c r="D14" s="12"/>
      <c r="E14" s="12">
        <v>4189</v>
      </c>
      <c r="F14" s="12">
        <v>25416</v>
      </c>
      <c r="H14" s="14" t="s">
        <v>62</v>
      </c>
      <c r="I14" s="10">
        <v>6.0973504586752519E-3</v>
      </c>
      <c r="K14" s="14" t="s">
        <v>63</v>
      </c>
      <c r="L14" s="12">
        <v>3906.75</v>
      </c>
      <c r="M14" s="12">
        <v>5989.166666666667</v>
      </c>
    </row>
    <row r="15" spans="1:13" x14ac:dyDescent="0.3">
      <c r="A15" s="14" t="s">
        <v>63</v>
      </c>
      <c r="B15" s="12">
        <v>6128</v>
      </c>
      <c r="C15" s="12">
        <v>1660</v>
      </c>
      <c r="D15" s="12">
        <v>6272</v>
      </c>
      <c r="E15" s="12">
        <v>1567</v>
      </c>
      <c r="F15" s="12">
        <v>15627</v>
      </c>
      <c r="H15" s="14" t="s">
        <v>63</v>
      </c>
      <c r="I15" s="10">
        <v>3.6805800194156762E-3</v>
      </c>
      <c r="K15" s="14" t="s">
        <v>64</v>
      </c>
      <c r="L15" s="12">
        <v>5180</v>
      </c>
      <c r="M15" s="12">
        <v>4245.5833333333339</v>
      </c>
    </row>
    <row r="16" spans="1:13" x14ac:dyDescent="0.3">
      <c r="A16" s="14" t="s">
        <v>64</v>
      </c>
      <c r="B16" s="12">
        <v>1425</v>
      </c>
      <c r="C16" s="12">
        <v>4542</v>
      </c>
      <c r="D16" s="12">
        <v>8319</v>
      </c>
      <c r="E16" s="12">
        <v>6434</v>
      </c>
      <c r="F16" s="12">
        <v>20720</v>
      </c>
      <c r="H16" s="14" t="s">
        <v>64</v>
      </c>
      <c r="I16" s="10">
        <v>4.7954422677958025E-3</v>
      </c>
      <c r="K16" s="14" t="s">
        <v>65</v>
      </c>
      <c r="L16" s="12">
        <v>6248.75</v>
      </c>
      <c r="M16" s="12">
        <v>5543.833333333333</v>
      </c>
    </row>
    <row r="17" spans="1:13" x14ac:dyDescent="0.3">
      <c r="A17" s="14" t="s">
        <v>65</v>
      </c>
      <c r="B17" s="12"/>
      <c r="C17" s="12">
        <v>24995</v>
      </c>
      <c r="D17" s="12"/>
      <c r="E17" s="12"/>
      <c r="F17" s="12">
        <v>24995</v>
      </c>
      <c r="H17" s="14" t="s">
        <v>65</v>
      </c>
      <c r="I17" s="10">
        <v>5.664991216644385E-3</v>
      </c>
      <c r="K17" s="14" t="s">
        <v>66</v>
      </c>
      <c r="L17" s="12">
        <v>5517.5</v>
      </c>
      <c r="M17" s="12">
        <v>5857.916666666667</v>
      </c>
    </row>
    <row r="18" spans="1:13" x14ac:dyDescent="0.3">
      <c r="A18" s="14" t="s">
        <v>66</v>
      </c>
      <c r="B18" s="12">
        <v>15012</v>
      </c>
      <c r="C18" s="12"/>
      <c r="D18" s="12">
        <v>7058</v>
      </c>
      <c r="E18" s="12"/>
      <c r="F18" s="12">
        <v>22070</v>
      </c>
      <c r="H18" s="14" t="s">
        <v>66</v>
      </c>
      <c r="I18" s="10">
        <v>4.8986542567023561E-3</v>
      </c>
      <c r="K18" s="14" t="s">
        <v>67</v>
      </c>
      <c r="L18" s="12">
        <v>4362.25</v>
      </c>
      <c r="M18" s="12">
        <v>3981</v>
      </c>
    </row>
    <row r="19" spans="1:13" x14ac:dyDescent="0.3">
      <c r="A19" s="14" t="s">
        <v>67</v>
      </c>
      <c r="B19" s="12"/>
      <c r="C19" s="12">
        <v>1512</v>
      </c>
      <c r="D19" s="12">
        <v>15937</v>
      </c>
      <c r="E19" s="12"/>
      <c r="F19" s="12">
        <v>17449</v>
      </c>
      <c r="H19" s="14" t="s">
        <v>67</v>
      </c>
      <c r="I19" s="10">
        <v>3.8067259158579992E-3</v>
      </c>
      <c r="K19" s="14" t="s">
        <v>68</v>
      </c>
      <c r="L19" s="12">
        <v>4032.25</v>
      </c>
      <c r="M19" s="12">
        <v>4130.833333333333</v>
      </c>
    </row>
    <row r="20" spans="1:13" x14ac:dyDescent="0.3">
      <c r="A20" s="14" t="s">
        <v>68</v>
      </c>
      <c r="B20" s="12">
        <v>7959</v>
      </c>
      <c r="C20" s="12">
        <v>2960</v>
      </c>
      <c r="D20" s="12"/>
      <c r="E20" s="12">
        <v>5210</v>
      </c>
      <c r="F20" s="12">
        <v>16129</v>
      </c>
      <c r="H20" s="14" t="s">
        <v>68</v>
      </c>
      <c r="I20" s="10">
        <v>3.4674530056295395E-3</v>
      </c>
      <c r="K20" s="14" t="s">
        <v>51</v>
      </c>
      <c r="L20" s="12">
        <v>6764.25</v>
      </c>
      <c r="M20" s="12">
        <v>6825.3333333333321</v>
      </c>
    </row>
    <row r="21" spans="1:13" x14ac:dyDescent="0.3">
      <c r="A21" s="14" t="s">
        <v>51</v>
      </c>
      <c r="B21" s="12"/>
      <c r="C21" s="12">
        <v>9254</v>
      </c>
      <c r="D21" s="12">
        <v>9202</v>
      </c>
      <c r="E21" s="12">
        <v>8601</v>
      </c>
      <c r="F21" s="12">
        <v>27057</v>
      </c>
      <c r="H21" s="14" t="s">
        <v>51</v>
      </c>
      <c r="I21" s="10">
        <v>8.5606062874889078E-3</v>
      </c>
      <c r="K21" s="14" t="s">
        <v>69</v>
      </c>
      <c r="L21" s="12">
        <v>4596.75</v>
      </c>
      <c r="M21" s="12">
        <v>4733.916666666667</v>
      </c>
    </row>
    <row r="22" spans="1:13" x14ac:dyDescent="0.3">
      <c r="A22" s="14" t="s">
        <v>69</v>
      </c>
      <c r="B22" s="12">
        <v>2805</v>
      </c>
      <c r="C22" s="12">
        <v>8146</v>
      </c>
      <c r="D22" s="12">
        <v>7436</v>
      </c>
      <c r="E22" s="12"/>
      <c r="F22" s="12">
        <v>18387</v>
      </c>
      <c r="H22" s="14" t="s">
        <v>69</v>
      </c>
      <c r="I22" s="10">
        <v>3.894653768427579E-3</v>
      </c>
      <c r="K22" s="14" t="s">
        <v>20</v>
      </c>
      <c r="L22" s="12">
        <v>6800.75</v>
      </c>
      <c r="M22" s="12">
        <v>6444</v>
      </c>
    </row>
    <row r="23" spans="1:13" x14ac:dyDescent="0.3">
      <c r="A23" s="14" t="s">
        <v>20</v>
      </c>
      <c r="B23" s="12">
        <v>3777</v>
      </c>
      <c r="C23" s="12"/>
      <c r="D23" s="12">
        <v>7432</v>
      </c>
      <c r="E23" s="12">
        <v>15994</v>
      </c>
      <c r="F23" s="12">
        <v>27203</v>
      </c>
      <c r="H23" s="14" t="s">
        <v>20</v>
      </c>
      <c r="I23" s="10">
        <v>5.8293133917425223E-2</v>
      </c>
      <c r="K23" s="14" t="s">
        <v>21</v>
      </c>
      <c r="L23" s="12">
        <v>5765.5</v>
      </c>
      <c r="M23" s="12">
        <v>7402.1666666666661</v>
      </c>
    </row>
    <row r="24" spans="1:13" x14ac:dyDescent="0.3">
      <c r="A24" s="14" t="s">
        <v>21</v>
      </c>
      <c r="B24" s="12">
        <v>7215</v>
      </c>
      <c r="C24" s="12"/>
      <c r="D24" s="12">
        <v>8369</v>
      </c>
      <c r="E24" s="12">
        <v>7478</v>
      </c>
      <c r="F24" s="12">
        <v>23062</v>
      </c>
      <c r="H24" s="14" t="s">
        <v>21</v>
      </c>
      <c r="I24" s="10">
        <v>4.0709879530613585E-2</v>
      </c>
      <c r="K24" s="14" t="s">
        <v>22</v>
      </c>
      <c r="L24" s="12">
        <v>6482.75</v>
      </c>
      <c r="M24" s="12">
        <v>5740.083333333333</v>
      </c>
    </row>
    <row r="25" spans="1:13" x14ac:dyDescent="0.3">
      <c r="A25" s="14" t="s">
        <v>22</v>
      </c>
      <c r="B25" s="12">
        <v>13130</v>
      </c>
      <c r="C25" s="12">
        <v>6728</v>
      </c>
      <c r="D25" s="12">
        <v>6073</v>
      </c>
      <c r="E25" s="12"/>
      <c r="F25" s="12">
        <v>25931</v>
      </c>
      <c r="H25" s="14" t="s">
        <v>22</v>
      </c>
      <c r="I25" s="10">
        <v>3.9002218446293334E-2</v>
      </c>
      <c r="K25" s="14" t="s">
        <v>23</v>
      </c>
      <c r="L25" s="12">
        <v>7155.5</v>
      </c>
      <c r="M25" s="12">
        <v>6745.666666666667</v>
      </c>
    </row>
    <row r="26" spans="1:13" x14ac:dyDescent="0.3">
      <c r="A26" s="14" t="s">
        <v>23</v>
      </c>
      <c r="B26" s="12">
        <v>4885</v>
      </c>
      <c r="C26" s="12"/>
      <c r="D26" s="12">
        <v>15084</v>
      </c>
      <c r="E26" s="12">
        <v>8653</v>
      </c>
      <c r="F26" s="12">
        <v>28622</v>
      </c>
      <c r="H26" s="14" t="s">
        <v>23</v>
      </c>
      <c r="I26" s="10">
        <v>3.6893261984581038E-2</v>
      </c>
      <c r="K26" s="14" t="s">
        <v>24</v>
      </c>
      <c r="L26" s="12">
        <v>4958.25</v>
      </c>
      <c r="M26" s="12">
        <v>6494.583333333333</v>
      </c>
    </row>
    <row r="27" spans="1:13" x14ac:dyDescent="0.3">
      <c r="A27" s="14" t="s">
        <v>24</v>
      </c>
      <c r="B27" s="12">
        <v>5928</v>
      </c>
      <c r="C27" s="12">
        <v>5442</v>
      </c>
      <c r="D27" s="12">
        <v>8463</v>
      </c>
      <c r="E27" s="12"/>
      <c r="F27" s="12">
        <v>19833</v>
      </c>
      <c r="H27" s="14" t="s">
        <v>24</v>
      </c>
      <c r="I27" s="10">
        <v>2.2784423000092494E-2</v>
      </c>
      <c r="K27" s="14" t="s">
        <v>25</v>
      </c>
      <c r="L27" s="12">
        <v>4632.25</v>
      </c>
      <c r="M27" s="12">
        <v>4547.5</v>
      </c>
    </row>
    <row r="28" spans="1:13" x14ac:dyDescent="0.3">
      <c r="A28" s="14" t="s">
        <v>25</v>
      </c>
      <c r="B28" s="12"/>
      <c r="C28" s="12">
        <v>11378</v>
      </c>
      <c r="D28" s="12">
        <v>7151</v>
      </c>
      <c r="E28" s="12"/>
      <c r="F28" s="12">
        <v>18529</v>
      </c>
      <c r="H28" s="14" t="s">
        <v>25</v>
      </c>
      <c r="I28" s="10">
        <v>1.9575443064851476E-2</v>
      </c>
      <c r="K28" s="14" t="s">
        <v>26</v>
      </c>
      <c r="L28" s="12">
        <v>3471.25</v>
      </c>
      <c r="M28" s="12">
        <v>4235.8333333333339</v>
      </c>
    </row>
    <row r="29" spans="1:13" x14ac:dyDescent="0.3">
      <c r="A29" s="14" t="s">
        <v>26</v>
      </c>
      <c r="B29" s="12">
        <v>4967</v>
      </c>
      <c r="C29" s="12"/>
      <c r="D29" s="12">
        <v>7092</v>
      </c>
      <c r="E29" s="12">
        <v>1826</v>
      </c>
      <c r="F29" s="12">
        <v>13885</v>
      </c>
      <c r="H29" s="14" t="s">
        <v>26</v>
      </c>
      <c r="I29" s="10">
        <v>1.3745668486254518E-2</v>
      </c>
      <c r="K29" s="14" t="s">
        <v>52</v>
      </c>
      <c r="L29" s="12">
        <v>4684.25</v>
      </c>
      <c r="M29" s="12">
        <v>5422.4166666666661</v>
      </c>
    </row>
    <row r="30" spans="1:13" x14ac:dyDescent="0.3">
      <c r="A30" s="14" t="s">
        <v>52</v>
      </c>
      <c r="B30" s="12">
        <v>2919</v>
      </c>
      <c r="C30" s="12">
        <v>7471</v>
      </c>
      <c r="D30" s="12">
        <v>7346</v>
      </c>
      <c r="E30" s="12">
        <v>1001</v>
      </c>
      <c r="F30" s="12">
        <v>18737</v>
      </c>
      <c r="H30" s="14" t="s">
        <v>52</v>
      </c>
      <c r="I30" s="10">
        <v>5.7674024431785178E-3</v>
      </c>
      <c r="K30" s="14" t="s">
        <v>27</v>
      </c>
      <c r="L30" s="12">
        <v>8054.5</v>
      </c>
      <c r="M30" s="12">
        <v>5051.166666666667</v>
      </c>
    </row>
    <row r="31" spans="1:13" x14ac:dyDescent="0.3">
      <c r="A31" s="14" t="s">
        <v>27</v>
      </c>
      <c r="B31" s="12"/>
      <c r="C31" s="12">
        <v>15403</v>
      </c>
      <c r="D31" s="12">
        <v>7733</v>
      </c>
      <c r="E31" s="12">
        <v>9082</v>
      </c>
      <c r="F31" s="12">
        <v>32218</v>
      </c>
      <c r="H31" s="14" t="s">
        <v>27</v>
      </c>
      <c r="I31" s="10">
        <v>2.9086759725226393E-2</v>
      </c>
      <c r="K31" s="14" t="s">
        <v>28</v>
      </c>
      <c r="L31" s="12">
        <v>4255.25</v>
      </c>
      <c r="M31" s="12">
        <v>5932.2500000000009</v>
      </c>
    </row>
    <row r="32" spans="1:13" x14ac:dyDescent="0.3">
      <c r="A32" s="14" t="s">
        <v>28</v>
      </c>
      <c r="B32" s="12"/>
      <c r="C32" s="12">
        <v>7537</v>
      </c>
      <c r="D32" s="12">
        <v>6039</v>
      </c>
      <c r="E32" s="12">
        <v>3445</v>
      </c>
      <c r="F32" s="12">
        <v>17021</v>
      </c>
      <c r="H32" s="14" t="s">
        <v>28</v>
      </c>
      <c r="I32" s="10">
        <v>1.4174554119923594E-2</v>
      </c>
      <c r="K32" s="14" t="s">
        <v>29</v>
      </c>
      <c r="L32" s="12">
        <v>3525</v>
      </c>
      <c r="M32" s="12">
        <v>4164.9166666666661</v>
      </c>
    </row>
    <row r="33" spans="1:13" x14ac:dyDescent="0.3">
      <c r="A33" s="14" t="s">
        <v>29</v>
      </c>
      <c r="B33" s="12">
        <v>3213</v>
      </c>
      <c r="C33" s="12">
        <v>4847</v>
      </c>
      <c r="D33" s="12">
        <v>3497</v>
      </c>
      <c r="E33" s="12">
        <v>2543</v>
      </c>
      <c r="F33" s="12">
        <v>14100</v>
      </c>
      <c r="H33" s="14" t="s">
        <v>29</v>
      </c>
      <c r="I33" s="10">
        <v>1.1184814069724864E-2</v>
      </c>
      <c r="K33" s="14" t="s">
        <v>30</v>
      </c>
      <c r="L33" s="12">
        <v>6671.5</v>
      </c>
      <c r="M33" s="12">
        <v>5104</v>
      </c>
    </row>
    <row r="34" spans="1:13" x14ac:dyDescent="0.3">
      <c r="A34" s="14" t="s">
        <v>30</v>
      </c>
      <c r="B34" s="12">
        <v>6853</v>
      </c>
      <c r="C34" s="12"/>
      <c r="D34" s="12">
        <v>12800</v>
      </c>
      <c r="E34" s="12">
        <v>7033</v>
      </c>
      <c r="F34" s="12">
        <v>26686</v>
      </c>
      <c r="H34" s="14" t="s">
        <v>30</v>
      </c>
      <c r="I34" s="10">
        <v>1.9800951269647184E-2</v>
      </c>
      <c r="K34" s="14" t="s">
        <v>31</v>
      </c>
      <c r="L34" s="12">
        <v>5815.5</v>
      </c>
      <c r="M34" s="12">
        <v>6645.916666666667</v>
      </c>
    </row>
    <row r="35" spans="1:13" x14ac:dyDescent="0.3">
      <c r="A35" s="14" t="s">
        <v>31</v>
      </c>
      <c r="B35" s="12">
        <v>13835</v>
      </c>
      <c r="C35" s="12"/>
      <c r="D35" s="12"/>
      <c r="E35" s="12">
        <v>9427</v>
      </c>
      <c r="F35" s="12">
        <v>23262</v>
      </c>
      <c r="H35" s="14" t="s">
        <v>31</v>
      </c>
      <c r="I35" s="10">
        <v>1.6081266189469184E-2</v>
      </c>
      <c r="K35" s="14" t="s">
        <v>32</v>
      </c>
      <c r="L35" s="12">
        <v>5200</v>
      </c>
      <c r="M35" s="12">
        <v>4687.083333333333</v>
      </c>
    </row>
    <row r="36" spans="1:13" x14ac:dyDescent="0.3">
      <c r="A36" s="14" t="s">
        <v>32</v>
      </c>
      <c r="B36" s="12">
        <v>8231</v>
      </c>
      <c r="C36" s="12">
        <v>1513</v>
      </c>
      <c r="D36" s="12">
        <v>5753</v>
      </c>
      <c r="E36" s="12">
        <v>5303</v>
      </c>
      <c r="F36" s="12">
        <v>20800</v>
      </c>
      <c r="H36" s="14" t="s">
        <v>32</v>
      </c>
      <c r="I36" s="10">
        <v>1.3548305592720095E-2</v>
      </c>
      <c r="K36" s="14" t="s">
        <v>33</v>
      </c>
      <c r="L36" s="12">
        <v>5554.25</v>
      </c>
      <c r="M36" s="12">
        <v>5419.083333333333</v>
      </c>
    </row>
    <row r="37" spans="1:13" x14ac:dyDescent="0.3">
      <c r="A37" s="14" t="s">
        <v>33</v>
      </c>
      <c r="B37" s="12">
        <v>7396</v>
      </c>
      <c r="C37" s="12">
        <v>8228</v>
      </c>
      <c r="D37" s="12">
        <v>6593</v>
      </c>
      <c r="E37" s="12"/>
      <c r="F37" s="12">
        <v>22217</v>
      </c>
      <c r="H37" s="14" t="s">
        <v>33</v>
      </c>
      <c r="I37" s="10">
        <v>1.3700236711389251E-2</v>
      </c>
      <c r="K37" s="14" t="s">
        <v>34</v>
      </c>
      <c r="L37" s="12">
        <v>6294</v>
      </c>
      <c r="M37" s="12">
        <v>6900.2500000000009</v>
      </c>
    </row>
    <row r="38" spans="1:13" x14ac:dyDescent="0.3">
      <c r="A38" s="14" t="s">
        <v>34</v>
      </c>
      <c r="B38" s="12">
        <v>7442</v>
      </c>
      <c r="C38" s="12">
        <v>6121</v>
      </c>
      <c r="D38" s="12"/>
      <c r="E38" s="12">
        <v>11613</v>
      </c>
      <c r="F38" s="12">
        <v>25176</v>
      </c>
      <c r="H38" s="14" t="s">
        <v>34</v>
      </c>
      <c r="I38" s="10">
        <v>1.4655092629812391E-2</v>
      </c>
      <c r="K38" s="14" t="s">
        <v>35</v>
      </c>
      <c r="L38" s="12">
        <v>3858</v>
      </c>
      <c r="M38" s="12">
        <v>5052.083333333333</v>
      </c>
    </row>
    <row r="39" spans="1:13" x14ac:dyDescent="0.3">
      <c r="A39" s="14" t="s">
        <v>35</v>
      </c>
      <c r="B39" s="12"/>
      <c r="C39" s="12">
        <v>2199</v>
      </c>
      <c r="D39" s="12">
        <v>3925</v>
      </c>
      <c r="E39" s="12">
        <v>9308</v>
      </c>
      <c r="F39" s="12">
        <v>15432</v>
      </c>
      <c r="H39" s="14" t="s">
        <v>35</v>
      </c>
      <c r="I39" s="10">
        <v>8.5977310507304189E-3</v>
      </c>
      <c r="K39" s="14" t="s">
        <v>36</v>
      </c>
      <c r="L39" s="12">
        <v>4495.5</v>
      </c>
      <c r="M39" s="12">
        <v>2998.3333333333335</v>
      </c>
    </row>
    <row r="40" spans="1:13" x14ac:dyDescent="0.3">
      <c r="A40" s="14" t="s">
        <v>36</v>
      </c>
      <c r="B40" s="12">
        <v>13040</v>
      </c>
      <c r="C40" s="12"/>
      <c r="D40" s="12">
        <v>4942</v>
      </c>
      <c r="E40" s="12"/>
      <c r="F40" s="12">
        <v>17982</v>
      </c>
      <c r="H40" s="14" t="s">
        <v>36</v>
      </c>
      <c r="I40" s="10">
        <v>9.6527089611250227E-3</v>
      </c>
      <c r="K40" s="14" t="s">
        <v>53</v>
      </c>
      <c r="L40" s="12">
        <v>6952.25</v>
      </c>
      <c r="M40" s="12">
        <v>5435.5</v>
      </c>
    </row>
    <row r="41" spans="1:13" x14ac:dyDescent="0.3">
      <c r="A41" s="14" t="s">
        <v>53</v>
      </c>
      <c r="B41" s="12"/>
      <c r="C41" s="12"/>
      <c r="D41" s="12">
        <v>20155</v>
      </c>
      <c r="E41" s="12">
        <v>7654</v>
      </c>
      <c r="F41" s="12">
        <v>27809</v>
      </c>
      <c r="H41" s="14" t="s">
        <v>53</v>
      </c>
      <c r="I41" s="10">
        <v>8.3169478605078714E-3</v>
      </c>
      <c r="K41" s="14" t="s">
        <v>37</v>
      </c>
      <c r="L41" s="12">
        <v>4608.5</v>
      </c>
      <c r="M41" s="12">
        <v>6177.5</v>
      </c>
    </row>
    <row r="42" spans="1:13" x14ac:dyDescent="0.3">
      <c r="A42" s="14" t="s">
        <v>37</v>
      </c>
      <c r="B42" s="12">
        <v>9904</v>
      </c>
      <c r="C42" s="12"/>
      <c r="D42" s="12">
        <v>8530</v>
      </c>
      <c r="E42" s="12"/>
      <c r="F42" s="12">
        <v>18434</v>
      </c>
      <c r="H42" s="14" t="s">
        <v>37</v>
      </c>
      <c r="I42" s="10">
        <v>9.5176707865745752E-3</v>
      </c>
      <c r="K42" s="14" t="s">
        <v>38</v>
      </c>
      <c r="L42" s="12">
        <v>4394.25</v>
      </c>
      <c r="M42" s="12">
        <v>3424.333333333333</v>
      </c>
    </row>
    <row r="43" spans="1:13" x14ac:dyDescent="0.3">
      <c r="A43" s="14" t="s">
        <v>38</v>
      </c>
      <c r="B43" s="12">
        <v>4808</v>
      </c>
      <c r="C43" s="12">
        <v>2421</v>
      </c>
      <c r="D43" s="12"/>
      <c r="E43" s="12">
        <v>10348</v>
      </c>
      <c r="F43" s="12">
        <v>17577</v>
      </c>
      <c r="H43" s="14" t="s">
        <v>38</v>
      </c>
      <c r="I43" s="10">
        <v>8.7615220910783123E-3</v>
      </c>
      <c r="K43" s="14" t="s">
        <v>39</v>
      </c>
      <c r="L43" s="12">
        <v>5842.75</v>
      </c>
      <c r="M43" s="12">
        <v>5788.4166666666661</v>
      </c>
    </row>
    <row r="44" spans="1:13" x14ac:dyDescent="0.3">
      <c r="A44" s="14" t="s">
        <v>39</v>
      </c>
      <c r="B44" s="12"/>
      <c r="C44" s="12"/>
      <c r="D44" s="12">
        <v>16256</v>
      </c>
      <c r="E44" s="12">
        <v>7115</v>
      </c>
      <c r="F44" s="12">
        <v>23371</v>
      </c>
      <c r="H44" s="14" t="s">
        <v>39</v>
      </c>
      <c r="I44" s="10">
        <v>1.1175912049348766E-2</v>
      </c>
      <c r="K44" s="14" t="s">
        <v>40</v>
      </c>
      <c r="L44" s="12">
        <v>7722.75</v>
      </c>
      <c r="M44" s="12">
        <v>6168.583333333333</v>
      </c>
    </row>
    <row r="45" spans="1:13" x14ac:dyDescent="0.3">
      <c r="A45" s="14" t="s">
        <v>40</v>
      </c>
      <c r="B45" s="12">
        <v>23973</v>
      </c>
      <c r="C45" s="12"/>
      <c r="D45" s="12"/>
      <c r="E45" s="12">
        <v>6918</v>
      </c>
      <c r="F45" s="12">
        <v>30891</v>
      </c>
      <c r="H45" s="14" t="s">
        <v>40</v>
      </c>
      <c r="I45" s="10">
        <v>1.4027930977963302E-2</v>
      </c>
      <c r="K45" s="14" t="s">
        <v>41</v>
      </c>
      <c r="L45" s="12">
        <v>6813.5</v>
      </c>
      <c r="M45" s="12">
        <v>7166.333333333333</v>
      </c>
    </row>
    <row r="46" spans="1:13" x14ac:dyDescent="0.3">
      <c r="A46" s="14" t="s">
        <v>41</v>
      </c>
      <c r="B46" s="12"/>
      <c r="C46" s="12">
        <v>14812</v>
      </c>
      <c r="D46" s="12"/>
      <c r="E46" s="12">
        <v>12442</v>
      </c>
      <c r="F46" s="12">
        <v>27254</v>
      </c>
      <c r="H46" s="14" t="s">
        <v>41</v>
      </c>
      <c r="I46" s="10">
        <v>1.1763310997496296E-2</v>
      </c>
      <c r="K46" s="14" t="s">
        <v>42</v>
      </c>
      <c r="L46" s="12">
        <v>4171.25</v>
      </c>
      <c r="M46" s="12">
        <v>6391.25</v>
      </c>
    </row>
    <row r="47" spans="1:13" x14ac:dyDescent="0.3">
      <c r="A47" s="14" t="s">
        <v>42</v>
      </c>
      <c r="B47" s="12"/>
      <c r="C47" s="12">
        <v>4942</v>
      </c>
      <c r="D47" s="12">
        <v>8687</v>
      </c>
      <c r="E47" s="12">
        <v>3056</v>
      </c>
      <c r="F47" s="12">
        <v>16685</v>
      </c>
      <c r="H47" s="14" t="s">
        <v>42</v>
      </c>
      <c r="I47" s="10">
        <v>6.9469626131608052E-3</v>
      </c>
      <c r="K47" s="14" t="s">
        <v>43</v>
      </c>
      <c r="L47" s="12">
        <v>4937.75</v>
      </c>
      <c r="M47" s="12">
        <v>3545.333333333333</v>
      </c>
    </row>
    <row r="48" spans="1:13" x14ac:dyDescent="0.3">
      <c r="A48" s="14" t="s">
        <v>43</v>
      </c>
      <c r="B48" s="12"/>
      <c r="C48" s="12">
        <v>4882</v>
      </c>
      <c r="D48" s="12">
        <v>9649</v>
      </c>
      <c r="E48" s="12">
        <v>5220</v>
      </c>
      <c r="F48" s="12">
        <v>19751</v>
      </c>
      <c r="H48" s="14" t="s">
        <v>43</v>
      </c>
      <c r="I48" s="10">
        <v>7.9742506230642655E-3</v>
      </c>
      <c r="K48" s="14" t="s">
        <v>44</v>
      </c>
      <c r="L48" s="12">
        <v>5309.5</v>
      </c>
      <c r="M48" s="12">
        <v>5468.416666666667</v>
      </c>
    </row>
    <row r="49" spans="1:13" x14ac:dyDescent="0.3">
      <c r="A49" s="14" t="s">
        <v>44</v>
      </c>
      <c r="B49" s="12">
        <v>5206</v>
      </c>
      <c r="C49" s="12">
        <v>9648</v>
      </c>
      <c r="D49" s="12">
        <v>6384</v>
      </c>
      <c r="E49" s="12"/>
      <c r="F49" s="12">
        <v>21238</v>
      </c>
      <c r="H49" s="14" t="s">
        <v>44</v>
      </c>
      <c r="I49" s="10">
        <v>8.3051161978313793E-3</v>
      </c>
      <c r="K49" s="14" t="s">
        <v>45</v>
      </c>
      <c r="L49" s="12">
        <v>7156.25</v>
      </c>
      <c r="M49" s="12">
        <v>6554.4166666666661</v>
      </c>
    </row>
    <row r="50" spans="1:13" x14ac:dyDescent="0.3">
      <c r="A50" s="14" t="s">
        <v>45</v>
      </c>
      <c r="B50" s="12">
        <v>14537</v>
      </c>
      <c r="C50" s="12">
        <v>8945</v>
      </c>
      <c r="D50" s="12"/>
      <c r="E50" s="12">
        <v>5143</v>
      </c>
      <c r="F50" s="12">
        <v>28625</v>
      </c>
      <c r="H50" s="14" t="s">
        <v>45</v>
      </c>
      <c r="I50" s="10">
        <v>1.075900228619954E-2</v>
      </c>
      <c r="K50" s="14" t="s">
        <v>46</v>
      </c>
      <c r="L50" s="12">
        <v>4582.5</v>
      </c>
      <c r="M50" s="12">
        <v>5159.333333333333</v>
      </c>
    </row>
    <row r="51" spans="1:13" x14ac:dyDescent="0.3">
      <c r="A51" s="14" t="s">
        <v>46</v>
      </c>
      <c r="B51" s="12">
        <v>8999</v>
      </c>
      <c r="C51" s="12">
        <v>5402</v>
      </c>
      <c r="D51" s="12"/>
      <c r="E51" s="12">
        <v>3929</v>
      </c>
      <c r="F51" s="12">
        <v>18330</v>
      </c>
      <c r="H51" s="14" t="s">
        <v>46</v>
      </c>
      <c r="I51" s="10">
        <v>6.6628754772463938E-3</v>
      </c>
      <c r="K51" s="14" t="s">
        <v>54</v>
      </c>
      <c r="L51" s="12">
        <v>5673</v>
      </c>
      <c r="M51" s="12">
        <v>6562.0833333333339</v>
      </c>
    </row>
    <row r="52" spans="1:13" x14ac:dyDescent="0.3">
      <c r="A52" s="14" t="s">
        <v>54</v>
      </c>
      <c r="B52" s="12">
        <v>3643</v>
      </c>
      <c r="C52" s="12">
        <v>7260</v>
      </c>
      <c r="D52" s="12">
        <v>11789</v>
      </c>
      <c r="E52" s="12"/>
      <c r="F52" s="12">
        <v>22692</v>
      </c>
      <c r="H52" s="14" t="s">
        <v>54</v>
      </c>
      <c r="I52" s="10">
        <v>6.5925287295776243E-3</v>
      </c>
      <c r="K52" s="14" t="s">
        <v>47</v>
      </c>
      <c r="L52" s="12">
        <v>3960.5</v>
      </c>
      <c r="M52" s="12">
        <v>5340.583333333333</v>
      </c>
    </row>
    <row r="53" spans="1:13" x14ac:dyDescent="0.3">
      <c r="A53" s="14" t="s">
        <v>47</v>
      </c>
      <c r="B53" s="12">
        <v>3461</v>
      </c>
      <c r="C53" s="12">
        <v>949</v>
      </c>
      <c r="D53" s="12">
        <v>6642</v>
      </c>
      <c r="E53" s="12">
        <v>4790</v>
      </c>
      <c r="F53" s="12">
        <v>15842</v>
      </c>
      <c r="H53" s="14" t="s">
        <v>47</v>
      </c>
      <c r="I53" s="10">
        <v>5.6214028528899802E-3</v>
      </c>
      <c r="K53" s="14" t="s">
        <v>48</v>
      </c>
      <c r="L53" s="12">
        <v>4901</v>
      </c>
      <c r="M53" s="12">
        <v>3134.25</v>
      </c>
    </row>
    <row r="54" spans="1:13" x14ac:dyDescent="0.3">
      <c r="A54" s="14" t="s">
        <v>48</v>
      </c>
      <c r="B54" s="12">
        <v>4802</v>
      </c>
      <c r="C54" s="12">
        <v>8527</v>
      </c>
      <c r="D54" s="12">
        <v>6275</v>
      </c>
      <c r="E54" s="12"/>
      <c r="F54" s="12">
        <v>19604</v>
      </c>
      <c r="H54" s="14" t="s">
        <v>48</v>
      </c>
      <c r="I54" s="10">
        <v>6.7792959785868108E-3</v>
      </c>
      <c r="K54" s="14" t="s">
        <v>49</v>
      </c>
      <c r="L54" s="12">
        <v>4795.75</v>
      </c>
      <c r="M54" s="12">
        <v>4666</v>
      </c>
    </row>
    <row r="55" spans="1:13" x14ac:dyDescent="0.3">
      <c r="A55" s="14" t="s">
        <v>49</v>
      </c>
      <c r="B55" s="12">
        <v>4314</v>
      </c>
      <c r="C55" s="12">
        <v>7541</v>
      </c>
      <c r="D55" s="12"/>
      <c r="E55" s="12">
        <v>7328</v>
      </c>
      <c r="F55" s="12">
        <v>19183</v>
      </c>
      <c r="H55" s="14" t="s">
        <v>49</v>
      </c>
      <c r="I55" s="10">
        <v>6.4630116706949348E-3</v>
      </c>
      <c r="K55" s="14" t="s">
        <v>50</v>
      </c>
      <c r="L55" s="12">
        <v>5967.5</v>
      </c>
      <c r="M55" s="12">
        <v>6670.916666666667</v>
      </c>
    </row>
    <row r="56" spans="1:13" x14ac:dyDescent="0.3">
      <c r="A56" s="14" t="s">
        <v>50</v>
      </c>
      <c r="B56" s="12">
        <v>4214</v>
      </c>
      <c r="C56" s="12">
        <v>16577</v>
      </c>
      <c r="D56" s="12">
        <v>3079</v>
      </c>
      <c r="E56" s="12"/>
      <c r="F56" s="12">
        <v>23870</v>
      </c>
      <c r="H56" s="14" t="s">
        <v>50</v>
      </c>
      <c r="I56" s="10">
        <v>7.8100755584475682E-3</v>
      </c>
      <c r="K56" s="14" t="s">
        <v>55</v>
      </c>
      <c r="L56" s="12">
        <v>7133.25</v>
      </c>
      <c r="M56" s="12">
        <v>5371.583333333333</v>
      </c>
    </row>
    <row r="57" spans="1:13" x14ac:dyDescent="0.3">
      <c r="A57" s="14" t="s">
        <v>55</v>
      </c>
      <c r="B57" s="12"/>
      <c r="C57" s="12"/>
      <c r="D57" s="12">
        <v>16086</v>
      </c>
      <c r="E57" s="12">
        <v>12447</v>
      </c>
      <c r="F57" s="12">
        <v>28533</v>
      </c>
      <c r="H57" s="14" t="s">
        <v>55</v>
      </c>
      <c r="I57" s="10">
        <v>8.042666857229909E-3</v>
      </c>
      <c r="K57" s="14" t="s">
        <v>56</v>
      </c>
      <c r="L57" s="12">
        <v>3410.5</v>
      </c>
      <c r="M57" s="12">
        <v>5468</v>
      </c>
    </row>
    <row r="58" spans="1:13" x14ac:dyDescent="0.3">
      <c r="A58" s="14" t="s">
        <v>56</v>
      </c>
      <c r="B58" s="12"/>
      <c r="C58" s="12">
        <v>12622</v>
      </c>
      <c r="D58" s="12">
        <v>1020</v>
      </c>
      <c r="E58" s="12"/>
      <c r="F58" s="12">
        <v>13642</v>
      </c>
      <c r="H58" s="14" t="s">
        <v>56</v>
      </c>
      <c r="I58" s="10">
        <v>3.7619610880896409E-3</v>
      </c>
      <c r="K58" s="14" t="s">
        <v>57</v>
      </c>
      <c r="L58" s="12">
        <v>4464.75</v>
      </c>
      <c r="M58" s="12">
        <v>3675.5833333333335</v>
      </c>
    </row>
    <row r="59" spans="1:13" x14ac:dyDescent="0.3">
      <c r="A59" s="14" t="s">
        <v>57</v>
      </c>
      <c r="B59" s="12">
        <v>11468</v>
      </c>
      <c r="C59" s="12">
        <v>5101</v>
      </c>
      <c r="D59" s="12">
        <v>1290</v>
      </c>
      <c r="E59" s="12"/>
      <c r="F59" s="12">
        <v>17859</v>
      </c>
      <c r="H59" s="14" t="s">
        <v>57</v>
      </c>
      <c r="I59" s="10">
        <v>4.8392951778024919E-3</v>
      </c>
      <c r="K59" s="14" t="s">
        <v>58</v>
      </c>
      <c r="L59" s="12">
        <v>7611.5</v>
      </c>
      <c r="M59" s="12">
        <v>7148.2499999999991</v>
      </c>
    </row>
    <row r="60" spans="1:13" x14ac:dyDescent="0.3">
      <c r="A60" s="14" t="s">
        <v>58</v>
      </c>
      <c r="B60" s="12">
        <v>15087</v>
      </c>
      <c r="C60" s="12"/>
      <c r="D60" s="12"/>
      <c r="E60" s="12">
        <v>15359</v>
      </c>
      <c r="F60" s="12">
        <v>30446</v>
      </c>
      <c r="H60" s="14" t="s">
        <v>58</v>
      </c>
      <c r="I60" s="10">
        <v>8.0286279815307733E-3</v>
      </c>
      <c r="K60" s="14" t="s">
        <v>14</v>
      </c>
      <c r="L60" s="12">
        <v>5431.99</v>
      </c>
      <c r="M60" s="12">
        <v>5451.0483333333341</v>
      </c>
    </row>
    <row r="61" spans="1:13" x14ac:dyDescent="0.3">
      <c r="A61" s="14" t="s">
        <v>14</v>
      </c>
      <c r="B61" s="12">
        <v>261862</v>
      </c>
      <c r="C61" s="12">
        <v>290487</v>
      </c>
      <c r="D61" s="12">
        <v>303407</v>
      </c>
      <c r="E61" s="12">
        <v>230642</v>
      </c>
      <c r="F61" s="12">
        <v>1086398</v>
      </c>
      <c r="H61" s="14" t="s">
        <v>14</v>
      </c>
      <c r="I61" s="10">
        <v>1.2218035026624958E-2</v>
      </c>
    </row>
    <row r="62" spans="1:13" x14ac:dyDescent="0.3">
      <c r="H62" s="18" t="s">
        <v>72</v>
      </c>
      <c r="I62" s="25"/>
    </row>
    <row r="63" spans="1:13" x14ac:dyDescent="0.3">
      <c r="H63" s="25"/>
      <c r="I63" s="25"/>
    </row>
    <row r="84" spans="2:19" x14ac:dyDescent="0.3">
      <c r="B84" s="17" t="s">
        <v>82</v>
      </c>
      <c r="C84" s="17"/>
      <c r="D84" s="17"/>
      <c r="E84" s="17"/>
      <c r="F84" s="17"/>
      <c r="G84" s="17"/>
      <c r="H84" s="17"/>
    </row>
    <row r="85" spans="2:19" x14ac:dyDescent="0.3">
      <c r="B85" s="17"/>
      <c r="C85" s="17"/>
      <c r="D85" s="17"/>
      <c r="E85" s="17"/>
      <c r="F85" s="17"/>
      <c r="G85" s="17"/>
      <c r="H85" s="17"/>
    </row>
    <row r="86" spans="2:19" x14ac:dyDescent="0.3">
      <c r="B86" s="18" t="s">
        <v>81</v>
      </c>
      <c r="C86" s="19"/>
      <c r="D86" s="19"/>
      <c r="E86" s="19"/>
      <c r="F86" s="19"/>
      <c r="G86" s="19"/>
      <c r="H86" s="19"/>
    </row>
    <row r="87" spans="2:19" ht="14.4" customHeight="1" x14ac:dyDescent="0.3">
      <c r="B87" s="19"/>
      <c r="C87" s="19"/>
      <c r="D87" s="19"/>
      <c r="E87" s="19"/>
      <c r="F87" s="19"/>
      <c r="G87" s="19"/>
      <c r="H87" s="19"/>
      <c r="K87" s="32" t="s">
        <v>83</v>
      </c>
      <c r="L87" s="32"/>
      <c r="M87" s="32"/>
      <c r="N87" s="32"/>
      <c r="O87" s="32"/>
      <c r="P87" s="32"/>
      <c r="Q87" s="32"/>
      <c r="R87" s="32"/>
      <c r="S87" s="32"/>
    </row>
    <row r="88" spans="2:19" ht="14.4" customHeight="1" x14ac:dyDescent="0.3">
      <c r="K88" s="32"/>
      <c r="L88" s="32"/>
      <c r="M88" s="32"/>
      <c r="N88" s="32"/>
      <c r="O88" s="32"/>
      <c r="P88" s="32"/>
      <c r="Q88" s="32"/>
      <c r="R88" s="32"/>
      <c r="S88" s="32"/>
    </row>
    <row r="89" spans="2:19" ht="14.4" customHeight="1" x14ac:dyDescent="0.3">
      <c r="K89" s="32"/>
      <c r="L89" s="32"/>
      <c r="M89" s="32"/>
      <c r="N89" s="32"/>
      <c r="O89" s="32"/>
      <c r="P89" s="32"/>
      <c r="Q89" s="32"/>
      <c r="R89" s="32"/>
      <c r="S89" s="32"/>
    </row>
    <row r="90" spans="2:19" ht="14.4" customHeight="1" x14ac:dyDescent="0.3">
      <c r="K90" s="32"/>
      <c r="L90" s="32"/>
      <c r="M90" s="32"/>
      <c r="N90" s="32"/>
      <c r="O90" s="32"/>
      <c r="P90" s="32"/>
      <c r="Q90" s="32"/>
      <c r="R90" s="32"/>
      <c r="S90" s="32"/>
    </row>
    <row r="91" spans="2:19" ht="14.4" customHeight="1" x14ac:dyDescent="0.3">
      <c r="K91" s="32"/>
      <c r="L91" s="32"/>
      <c r="M91" s="32"/>
      <c r="N91" s="32"/>
      <c r="O91" s="32"/>
      <c r="P91" s="32"/>
      <c r="Q91" s="32"/>
      <c r="R91" s="32"/>
      <c r="S91" s="32"/>
    </row>
    <row r="92" spans="2:19" ht="14.4" customHeight="1" x14ac:dyDescent="0.3">
      <c r="K92" s="32"/>
      <c r="L92" s="32"/>
      <c r="M92" s="32"/>
      <c r="N92" s="32"/>
      <c r="O92" s="32"/>
      <c r="P92" s="32"/>
      <c r="Q92" s="32"/>
      <c r="R92" s="32"/>
      <c r="S92" s="32"/>
    </row>
    <row r="93" spans="2:19" ht="14.4" customHeight="1" x14ac:dyDescent="0.3">
      <c r="K93" s="32"/>
      <c r="L93" s="32"/>
      <c r="M93" s="32"/>
      <c r="N93" s="32"/>
      <c r="O93" s="32"/>
      <c r="P93" s="32"/>
      <c r="Q93" s="32"/>
      <c r="R93" s="32"/>
      <c r="S93" s="32"/>
    </row>
    <row r="94" spans="2:19" ht="14.4" customHeight="1" x14ac:dyDescent="0.3">
      <c r="K94" s="32"/>
      <c r="L94" s="32"/>
      <c r="M94" s="32"/>
      <c r="N94" s="32"/>
      <c r="O94" s="32"/>
      <c r="P94" s="32"/>
      <c r="Q94" s="32"/>
      <c r="R94" s="32"/>
      <c r="S94" s="32"/>
    </row>
    <row r="95" spans="2:19" ht="14.4" customHeight="1" x14ac:dyDescent="0.3">
      <c r="K95" s="32"/>
      <c r="L95" s="32"/>
      <c r="M95" s="32"/>
      <c r="N95" s="32"/>
      <c r="O95" s="32"/>
      <c r="P95" s="32"/>
      <c r="Q95" s="32"/>
      <c r="R95" s="32"/>
      <c r="S95" s="32"/>
    </row>
    <row r="96" spans="2:19" ht="14.4" customHeight="1" x14ac:dyDescent="0.3">
      <c r="K96" s="32"/>
      <c r="L96" s="32"/>
      <c r="M96" s="32"/>
      <c r="N96" s="32"/>
      <c r="O96" s="32"/>
      <c r="P96" s="32"/>
      <c r="Q96" s="32"/>
      <c r="R96" s="32"/>
      <c r="S96" s="32"/>
    </row>
    <row r="97" spans="11:19" ht="14.4" customHeight="1" x14ac:dyDescent="0.3">
      <c r="K97" s="32"/>
      <c r="L97" s="32"/>
      <c r="M97" s="32"/>
      <c r="N97" s="32"/>
      <c r="O97" s="32"/>
      <c r="P97" s="32"/>
      <c r="Q97" s="32"/>
      <c r="R97" s="32"/>
      <c r="S97" s="32"/>
    </row>
    <row r="98" spans="11:19" ht="14.4" customHeight="1" x14ac:dyDescent="0.3">
      <c r="K98" s="32"/>
      <c r="L98" s="32"/>
      <c r="M98" s="32"/>
      <c r="N98" s="32"/>
      <c r="O98" s="32"/>
      <c r="P98" s="32"/>
      <c r="Q98" s="32"/>
      <c r="R98" s="32"/>
      <c r="S98" s="32"/>
    </row>
    <row r="99" spans="11:19" ht="14.4" customHeight="1" x14ac:dyDescent="0.3">
      <c r="K99" s="32"/>
      <c r="L99" s="32"/>
      <c r="M99" s="32"/>
      <c r="N99" s="32"/>
      <c r="O99" s="32"/>
      <c r="P99" s="32"/>
      <c r="Q99" s="32"/>
      <c r="R99" s="32"/>
      <c r="S99" s="32"/>
    </row>
    <row r="100" spans="11:19" x14ac:dyDescent="0.3">
      <c r="K100" s="32"/>
      <c r="L100" s="32"/>
      <c r="M100" s="32"/>
      <c r="N100" s="32"/>
      <c r="O100" s="32"/>
      <c r="P100" s="32"/>
      <c r="Q100" s="32"/>
      <c r="R100" s="32"/>
      <c r="S100" s="32"/>
    </row>
    <row r="101" spans="11:19" x14ac:dyDescent="0.3">
      <c r="K101" s="32"/>
      <c r="L101" s="32"/>
      <c r="M101" s="32"/>
      <c r="N101" s="32"/>
      <c r="O101" s="32"/>
      <c r="P101" s="32"/>
      <c r="Q101" s="32"/>
      <c r="R101" s="32"/>
      <c r="S101" s="32"/>
    </row>
    <row r="102" spans="11:19" x14ac:dyDescent="0.3">
      <c r="K102" s="32"/>
      <c r="L102" s="32"/>
      <c r="M102" s="32"/>
      <c r="N102" s="32"/>
      <c r="O102" s="32"/>
      <c r="P102" s="32"/>
      <c r="Q102" s="32"/>
      <c r="R102" s="32"/>
      <c r="S102" s="32"/>
    </row>
    <row r="103" spans="11:19" x14ac:dyDescent="0.3">
      <c r="K103" s="32"/>
      <c r="L103" s="32"/>
      <c r="M103" s="32"/>
      <c r="N103" s="32"/>
      <c r="O103" s="32"/>
      <c r="P103" s="32"/>
      <c r="Q103" s="32"/>
      <c r="R103" s="32"/>
      <c r="S103" s="32"/>
    </row>
  </sheetData>
  <mergeCells count="10">
    <mergeCell ref="K5:M6"/>
    <mergeCell ref="K7:M8"/>
    <mergeCell ref="K87:S103"/>
    <mergeCell ref="B84:H85"/>
    <mergeCell ref="B86:H87"/>
    <mergeCell ref="A5:F6"/>
    <mergeCell ref="A7:F8"/>
    <mergeCell ref="H5:I6"/>
    <mergeCell ref="H7:I9"/>
    <mergeCell ref="H62:I63"/>
  </mergeCells>
  <conditionalFormatting pivot="1" sqref="B11:E60">
    <cfRule type="top10" dxfId="3" priority="2" rank="1"/>
  </conditionalFormatting>
  <conditionalFormatting pivot="1" sqref="I11:I60">
    <cfRule type="top10" dxfId="2" priority="1" rank="1"/>
  </conditionalFormatting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TASK_6.1</vt:lpstr>
      <vt:lpstr>Task_6.2</vt:lpstr>
      <vt:lpstr>TASK_6.3</vt:lpstr>
      <vt:lpstr>ENGAGEMENT 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Pukazharasi Kumar</dc:creator>
  <cp:lastModifiedBy>Pukazharasi Kumar</cp:lastModifiedBy>
  <dcterms:created xsi:type="dcterms:W3CDTF">2026-04-23T06:47:33Z</dcterms:created>
  <dcterms:modified xsi:type="dcterms:W3CDTF">2026-04-24T06:48:47Z</dcterms:modified>
</cp:coreProperties>
</file>